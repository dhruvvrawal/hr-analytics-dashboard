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KPI_Summary" sheetId="2" state="visible" r:id="rId4"/>
    <sheet name="Attendance_Analysis" sheetId="3" state="visible" r:id="rId5"/>
    <sheet name="Attrition_Analysis" sheetId="4" state="visible" r:id="rId6"/>
    <sheet name="Salary_Analysis" sheetId="5" state="visible" r:id="rId7"/>
    <sheet name="Performance_Analysis" sheetId="6" state="visible" r:id="rId8"/>
    <sheet name="Charts_Dashboard" sheetId="7" state="visible" r:id="rId9"/>
    <sheet name="Observations_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<sst xmlns="http://schemas.openxmlformats.org/spreadsheetml/2006/main" count="662" uniqueCount="327">
  <si>
    <t xml:space="preserve">Emp_ID</t>
  </si>
  <si>
    <t xml:space="preserve">Name</t>
  </si>
  <si>
    <t xml:space="preserve">Department</t>
  </si>
  <si>
    <t xml:space="preserve">Designation</t>
  </si>
  <si>
    <t xml:space="preserve">Date_of_Joining</t>
  </si>
  <si>
    <t xml:space="preserve">Age</t>
  </si>
  <si>
    <t xml:space="preserve">Gender</t>
  </si>
  <si>
    <t xml:space="preserve">City</t>
  </si>
  <si>
    <t xml:space="preserve">Monthly_Salary</t>
  </si>
  <si>
    <t xml:space="preserve">Performance_Rating</t>
  </si>
  <si>
    <t xml:space="preserve">Attendance_%</t>
  </si>
  <si>
    <t xml:space="preserve">Status</t>
  </si>
  <si>
    <t xml:space="preserve">Exit_Month</t>
  </si>
  <si>
    <t xml:space="preserve">Years_of_Experience</t>
  </si>
  <si>
    <t xml:space="preserve">Training_Completed</t>
  </si>
  <si>
    <t xml:space="preserve">EMP001</t>
  </si>
  <si>
    <t xml:space="preserve">Amit Sharma</t>
  </si>
  <si>
    <t xml:space="preserve">Marketing</t>
  </si>
  <si>
    <t xml:space="preserve">Marketing Exec</t>
  </si>
  <si>
    <t xml:space="preserve">09-12-2024</t>
  </si>
  <si>
    <t xml:space="preserve">Male</t>
  </si>
  <si>
    <t xml:space="preserve">Mumbai</t>
  </si>
  <si>
    <t xml:space="preserve">Resigned</t>
  </si>
  <si>
    <t xml:space="preserve">Feb-24</t>
  </si>
  <si>
    <t xml:space="preserve">No</t>
  </si>
  <si>
    <t xml:space="preserve">EMP002</t>
  </si>
  <si>
    <t xml:space="preserve">Rahul Joshi</t>
  </si>
  <si>
    <t xml:space="preserve">IT</t>
  </si>
  <si>
    <t xml:space="preserve">Tech Lead</t>
  </si>
  <si>
    <t xml:space="preserve">07-09-2024</t>
  </si>
  <si>
    <t xml:space="preserve">Female</t>
  </si>
  <si>
    <t xml:space="preserve">Bangalore</t>
  </si>
  <si>
    <t xml:space="preserve">Active</t>
  </si>
  <si>
    <t xml:space="preserve">Yes</t>
  </si>
  <si>
    <t xml:space="preserve">EMP003</t>
  </si>
  <si>
    <t xml:space="preserve">Amit Shah</t>
  </si>
  <si>
    <t xml:space="preserve">HR</t>
  </si>
  <si>
    <t xml:space="preserve">HR Executive</t>
  </si>
  <si>
    <t xml:space="preserve">03-02-2019</t>
  </si>
  <si>
    <t xml:space="preserve">Hyderabad</t>
  </si>
  <si>
    <t xml:space="preserve">EMP004</t>
  </si>
  <si>
    <t xml:space="preserve">Varun Patel</t>
  </si>
  <si>
    <t xml:space="preserve">Sales</t>
  </si>
  <si>
    <t xml:space="preserve">Sales Manager</t>
  </si>
  <si>
    <t xml:space="preserve">20-11-2020</t>
  </si>
  <si>
    <t xml:space="preserve">EMP005</t>
  </si>
  <si>
    <t xml:space="preserve">Siddharth Kapoor</t>
  </si>
  <si>
    <t xml:space="preserve">Sr Sales Exec</t>
  </si>
  <si>
    <t xml:space="preserve">21-08-2020</t>
  </si>
  <si>
    <t xml:space="preserve">Pune</t>
  </si>
  <si>
    <t xml:space="preserve">EMP006</t>
  </si>
  <si>
    <t xml:space="preserve">Aarti Agarwal</t>
  </si>
  <si>
    <t xml:space="preserve">Recruiter</t>
  </si>
  <si>
    <t xml:space="preserve">06-04-2013</t>
  </si>
  <si>
    <t xml:space="preserve">Delhi</t>
  </si>
  <si>
    <t xml:space="preserve">EMP007</t>
  </si>
  <si>
    <t xml:space="preserve">Tanvi Reddy</t>
  </si>
  <si>
    <t xml:space="preserve">Finance</t>
  </si>
  <si>
    <t xml:space="preserve">Sr Analyst</t>
  </si>
  <si>
    <t xml:space="preserve">07-02-2020</t>
  </si>
  <si>
    <t xml:space="preserve">EMP008</t>
  </si>
  <si>
    <t xml:space="preserve">Sahil Mehta</t>
  </si>
  <si>
    <t xml:space="preserve">18-09-2013</t>
  </si>
  <si>
    <t xml:space="preserve">EMP009</t>
  </si>
  <si>
    <t xml:space="preserve">Pallavi Yadav</t>
  </si>
  <si>
    <t xml:space="preserve">Sales Exec</t>
  </si>
  <si>
    <t xml:space="preserve">06-11-2022</t>
  </si>
  <si>
    <t xml:space="preserve">EMP010</t>
  </si>
  <si>
    <t xml:space="preserve">Rahul Yadav</t>
  </si>
  <si>
    <t xml:space="preserve">25-09-2014</t>
  </si>
  <si>
    <t xml:space="preserve">Chennai</t>
  </si>
  <si>
    <t xml:space="preserve">EMP011</t>
  </si>
  <si>
    <t xml:space="preserve">Ravi Agarwal</t>
  </si>
  <si>
    <t xml:space="preserve">17-11-2020</t>
  </si>
  <si>
    <t xml:space="preserve">EMP012</t>
  </si>
  <si>
    <t xml:space="preserve">Karan Mehta</t>
  </si>
  <si>
    <t xml:space="preserve">08-01-2021</t>
  </si>
  <si>
    <t xml:space="preserve">Aug-24</t>
  </si>
  <si>
    <t xml:space="preserve">EMP013</t>
  </si>
  <si>
    <t xml:space="preserve">Tanvi Kapoor</t>
  </si>
  <si>
    <t xml:space="preserve">HR Manager</t>
  </si>
  <si>
    <t xml:space="preserve">14-10-2016</t>
  </si>
  <si>
    <t xml:space="preserve">EMP014</t>
  </si>
  <si>
    <t xml:space="preserve">Rahul Singh</t>
  </si>
  <si>
    <t xml:space="preserve">Operations</t>
  </si>
  <si>
    <t xml:space="preserve">Ops Executive</t>
  </si>
  <si>
    <t xml:space="preserve">03-04-2021</t>
  </si>
  <si>
    <t xml:space="preserve">EMP015</t>
  </si>
  <si>
    <t xml:space="preserve">Abhishek Iyer</t>
  </si>
  <si>
    <t xml:space="preserve">08-09-2023</t>
  </si>
  <si>
    <t xml:space="preserve">EMP016</t>
  </si>
  <si>
    <t xml:space="preserve">Sneha Nair</t>
  </si>
  <si>
    <t xml:space="preserve">Content Writer</t>
  </si>
  <si>
    <t xml:space="preserve">14-07-2019</t>
  </si>
  <si>
    <t xml:space="preserve">EMP017</t>
  </si>
  <si>
    <t xml:space="preserve">Vikram Tiwari</t>
  </si>
  <si>
    <t xml:space="preserve">05-08-2016</t>
  </si>
  <si>
    <t xml:space="preserve">EMP018</t>
  </si>
  <si>
    <t xml:space="preserve">Deepak Nair</t>
  </si>
  <si>
    <t xml:space="preserve">Developer</t>
  </si>
  <si>
    <t xml:space="preserve">06-04-2023</t>
  </si>
  <si>
    <t xml:space="preserve">EMP019</t>
  </si>
  <si>
    <t xml:space="preserve">Aakash Kumar</t>
  </si>
  <si>
    <t xml:space="preserve">Ops Manager</t>
  </si>
  <si>
    <t xml:space="preserve">24-12-2018</t>
  </si>
  <si>
    <t xml:space="preserve">EMP020</t>
  </si>
  <si>
    <t xml:space="preserve">Sneha Mishra</t>
  </si>
  <si>
    <t xml:space="preserve">02-06-2013</t>
  </si>
  <si>
    <t xml:space="preserve">EMP021</t>
  </si>
  <si>
    <t xml:space="preserve">Suresh Kapoor</t>
  </si>
  <si>
    <t xml:space="preserve">13-04-2014</t>
  </si>
  <si>
    <t xml:space="preserve">EMP022</t>
  </si>
  <si>
    <t xml:space="preserve">Nikhil Singh</t>
  </si>
  <si>
    <t xml:space="preserve">23-11-2021</t>
  </si>
  <si>
    <t xml:space="preserve">May-24</t>
  </si>
  <si>
    <t xml:space="preserve">EMP023</t>
  </si>
  <si>
    <t xml:space="preserve">Ritu Chauhan</t>
  </si>
  <si>
    <t xml:space="preserve">07-09-2023</t>
  </si>
  <si>
    <t xml:space="preserve">EMP024</t>
  </si>
  <si>
    <t xml:space="preserve">Varun Verma</t>
  </si>
  <si>
    <t xml:space="preserve">26-10-2020</t>
  </si>
  <si>
    <t xml:space="preserve">EMP025</t>
  </si>
  <si>
    <t xml:space="preserve">Harsh Saxena</t>
  </si>
  <si>
    <t xml:space="preserve">09-03-2016</t>
  </si>
  <si>
    <t xml:space="preserve">EMP026</t>
  </si>
  <si>
    <t xml:space="preserve">Ayesha Iyer</t>
  </si>
  <si>
    <t xml:space="preserve">01-01-2020</t>
  </si>
  <si>
    <t xml:space="preserve">EMP027</t>
  </si>
  <si>
    <t xml:space="preserve">Preeti Chauhan</t>
  </si>
  <si>
    <t xml:space="preserve">02-09-2022</t>
  </si>
  <si>
    <t xml:space="preserve">Mar-24</t>
  </si>
  <si>
    <t xml:space="preserve">EMP028</t>
  </si>
  <si>
    <t xml:space="preserve">Ritu Joshi</t>
  </si>
  <si>
    <t xml:space="preserve">12-02-2014</t>
  </si>
  <si>
    <t xml:space="preserve">EMP029</t>
  </si>
  <si>
    <t xml:space="preserve">Raj Gupta</t>
  </si>
  <si>
    <t xml:space="preserve">26-07-2019</t>
  </si>
  <si>
    <t xml:space="preserve">EMP030</t>
  </si>
  <si>
    <t xml:space="preserve">Sonal Chauhan</t>
  </si>
  <si>
    <t xml:space="preserve">08-04-2020</t>
  </si>
  <si>
    <t xml:space="preserve">EMP031</t>
  </si>
  <si>
    <t xml:space="preserve">Ravi Iyer</t>
  </si>
  <si>
    <t xml:space="preserve">Sr Developer</t>
  </si>
  <si>
    <t xml:space="preserve">09-02-2024</t>
  </si>
  <si>
    <t xml:space="preserve">EMP032</t>
  </si>
  <si>
    <t xml:space="preserve">Megha Iyer</t>
  </si>
  <si>
    <t xml:space="preserve">19-07-2023</t>
  </si>
  <si>
    <t xml:space="preserve">EMP033</t>
  </si>
  <si>
    <t xml:space="preserve">Ayesha Mehta</t>
  </si>
  <si>
    <t xml:space="preserve">Finance Manager</t>
  </si>
  <si>
    <t xml:space="preserve">10-12-2023</t>
  </si>
  <si>
    <t xml:space="preserve">EMP034</t>
  </si>
  <si>
    <t xml:space="preserve">Team Lead</t>
  </si>
  <si>
    <t xml:space="preserve">20-03-2013</t>
  </si>
  <si>
    <t xml:space="preserve">EMP035</t>
  </si>
  <si>
    <t xml:space="preserve">Varun Singh</t>
  </si>
  <si>
    <t xml:space="preserve">15-08-2017</t>
  </si>
  <si>
    <t xml:space="preserve">EMP036</t>
  </si>
  <si>
    <t xml:space="preserve">Kavya Sharma</t>
  </si>
  <si>
    <t xml:space="preserve">Brand Manager</t>
  </si>
  <si>
    <t xml:space="preserve">27-02-2019</t>
  </si>
  <si>
    <t xml:space="preserve">EMP037</t>
  </si>
  <si>
    <t xml:space="preserve">Ritu Mehta</t>
  </si>
  <si>
    <t xml:space="preserve">21-07-2017</t>
  </si>
  <si>
    <t xml:space="preserve">EMP038</t>
  </si>
  <si>
    <t xml:space="preserve">Arjun Shah</t>
  </si>
  <si>
    <t xml:space="preserve">15-09-2013</t>
  </si>
  <si>
    <t xml:space="preserve">EMP039</t>
  </si>
  <si>
    <t xml:space="preserve">Manish Patel</t>
  </si>
  <si>
    <t xml:space="preserve">17-12-2015</t>
  </si>
  <si>
    <t xml:space="preserve">EMP040</t>
  </si>
  <si>
    <t xml:space="preserve">Arjun Mehta</t>
  </si>
  <si>
    <t xml:space="preserve">03-08-2020</t>
  </si>
  <si>
    <t xml:space="preserve">EMP041</t>
  </si>
  <si>
    <t xml:space="preserve">Suresh Nair</t>
  </si>
  <si>
    <t xml:space="preserve">14-02-2021</t>
  </si>
  <si>
    <t xml:space="preserve">EMP042</t>
  </si>
  <si>
    <t xml:space="preserve">Karan Tiwari</t>
  </si>
  <si>
    <t xml:space="preserve">10-06-2024</t>
  </si>
  <si>
    <t xml:space="preserve">EMP043</t>
  </si>
  <si>
    <t xml:space="preserve">Nisha Mehta</t>
  </si>
  <si>
    <t xml:space="preserve">01-08-2018</t>
  </si>
  <si>
    <t xml:space="preserve">EMP044</t>
  </si>
  <si>
    <t xml:space="preserve">Manish Nair</t>
  </si>
  <si>
    <t xml:space="preserve">01-11-2015</t>
  </si>
  <si>
    <t xml:space="preserve">EMP045</t>
  </si>
  <si>
    <t xml:space="preserve">Gaurav Patel</t>
  </si>
  <si>
    <t xml:space="preserve">25-05-2018</t>
  </si>
  <si>
    <t xml:space="preserve">Jan-24</t>
  </si>
  <si>
    <t xml:space="preserve">EMP046</t>
  </si>
  <si>
    <t xml:space="preserve">Siddharth Yadav</t>
  </si>
  <si>
    <t xml:space="preserve">05-10-2024</t>
  </si>
  <si>
    <t xml:space="preserve">Apr-24</t>
  </si>
  <si>
    <t xml:space="preserve">EMP047</t>
  </si>
  <si>
    <t xml:space="preserve">Dev Kapoor</t>
  </si>
  <si>
    <t xml:space="preserve">25-02-2013</t>
  </si>
  <si>
    <t xml:space="preserve">EMP048</t>
  </si>
  <si>
    <t xml:space="preserve">Dev Gupta</t>
  </si>
  <si>
    <t xml:space="preserve">27-12-2015</t>
  </si>
  <si>
    <t xml:space="preserve">EMP049</t>
  </si>
  <si>
    <t xml:space="preserve">Isha Chauhan</t>
  </si>
  <si>
    <t xml:space="preserve">21-09-2023</t>
  </si>
  <si>
    <t xml:space="preserve">EMP050</t>
  </si>
  <si>
    <t xml:space="preserve">Nikhil Patel</t>
  </si>
  <si>
    <t xml:space="preserve">09-11-2016</t>
  </si>
  <si>
    <t xml:space="preserve">HR ANALYTICS DASHBOARD — FY 2023-24</t>
  </si>
  <si>
    <t xml:space="preserve">Sri Guru Gobind Singh College of Commerce | B.Com (Hons.) HR Analytics Project</t>
  </si>
  <si>
    <t xml:space="preserve">KEY HR METRICS</t>
  </si>
  <si>
    <t xml:space="preserve">Total Employees</t>
  </si>
  <si>
    <t xml:space="preserve">Active Employees</t>
  </si>
  <si>
    <t xml:space="preserve">Attrition Rate</t>
  </si>
  <si>
    <t xml:space="preserve">Avg Salary (₹)</t>
  </si>
  <si>
    <t xml:space="preserve">Avg Performance</t>
  </si>
  <si>
    <t xml:space="preserve">headcount</t>
  </si>
  <si>
    <t xml:space="preserve">employees</t>
  </si>
  <si>
    <t xml:space="preserve">rate</t>
  </si>
  <si>
    <t xml:space="preserve">per month</t>
  </si>
  <si>
    <t xml:space="preserve">out of 5</t>
  </si>
  <si>
    <t xml:space="preserve">DEPARTMENT-WISE BREAKDOWN</t>
  </si>
  <si>
    <t xml:space="preserve">Total</t>
  </si>
  <si>
    <t xml:space="preserve">Attrition %</t>
  </si>
  <si>
    <t xml:space="preserve">Avg Salary</t>
  </si>
  <si>
    <t xml:space="preserve">Avg Attendance %</t>
  </si>
  <si>
    <t xml:space="preserve">GENDER &amp; OTHER QUICK STATS</t>
  </si>
  <si>
    <t xml:space="preserve">Avg Age</t>
  </si>
  <si>
    <t xml:space="preserve">Training Done %</t>
  </si>
  <si>
    <t xml:space="preserve">Avg Experience</t>
  </si>
  <si>
    <t xml:space="preserve">years</t>
  </si>
  <si>
    <t xml:space="preserve">of total</t>
  </si>
  <si>
    <t xml:space="preserve">ATTENDANCE ANALYSIS</t>
  </si>
  <si>
    <t xml:space="preserve">ATTENDANCE DISTRIBUTION BUCKETS</t>
  </si>
  <si>
    <t xml:space="preserve">Attendance Range</t>
  </si>
  <si>
    <t xml:space="preserve">Below 75%</t>
  </si>
  <si>
    <t xml:space="preserve">75% – 84%</t>
  </si>
  <si>
    <t xml:space="preserve">85% – 94%</t>
  </si>
  <si>
    <t xml:space="preserve">95% &amp; Above</t>
  </si>
  <si>
    <t xml:space="preserve">MONTHLY AVG ATTENDANCE TREND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</si>
  <si>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</si>
  <si>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</si>
  <si>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</si>
  <si>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</si>
  <si>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</si>
  <si>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</si>
  <si>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</si>
  <si>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</si>
  <si>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</si>
  <si>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</si>
  <si>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</si>
  <si>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</si>
  <si>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DEPARTMENT AVG ATTENDANCE</t>
  </si>
  <si>
    <t xml:space="preserve">ATTRITION ANALYSIS</t>
  </si>
  <si>
    <t xml:space="preserve">Total Resigned</t>
  </si>
  <si>
    <t xml:space="preserve">Avg Exp (Resigned)</t>
  </si>
  <si>
    <t xml:space="preserve">Avg Sal (Resigned)</t>
  </si>
  <si>
    <t xml:space="preserve">ATTRITION BY DEPARTMENT</t>
  </si>
  <si>
    <t xml:space="preserve">Risk Flag</t>
  </si>
  <si>
    <t xml:space="preserve">RESIGNATIONS BY MONTH</t>
  </si>
  <si>
    <t xml:space="preserve">Exit Month</t>
  </si>
  <si>
    <t xml:space="preserve">Count</t>
  </si>
  <si>
    <t xml:space="preserve">Jun-24</t>
  </si>
  <si>
    <t xml:space="preserve">Jul-24</t>
  </si>
  <si>
    <t xml:space="preserve">SALARY ANALYSIS</t>
  </si>
  <si>
    <t xml:space="preserve">SALARY DISTRIBUTION</t>
  </si>
  <si>
    <t xml:space="preserve">Range</t>
  </si>
  <si>
    <t xml:space="preserve">% of Total</t>
  </si>
  <si>
    <t xml:space="preserve">Below ₹25,000</t>
  </si>
  <si>
    <t xml:space="preserve">₹25K – ₹35K</t>
  </si>
  <si>
    <t xml:space="preserve">₹35K – ₹45K</t>
  </si>
  <si>
    <t xml:space="preserve">Above ₹45,000</t>
  </si>
  <si>
    <t xml:space="preserve">SALARY BY DEPARTMENT</t>
  </si>
  <si>
    <t xml:space="preserve">Min Salary</t>
  </si>
  <si>
    <t xml:space="preserve">Max Salary</t>
  </si>
  <si>
    <t xml:space="preserve">Median (approx)</t>
  </si>
  <si>
    <t xml:space="preserve">OVERALL SALARY STATS</t>
  </si>
  <si>
    <t xml:space="preserve">Min</t>
  </si>
  <si>
    <t xml:space="preserve">Max</t>
  </si>
  <si>
    <t xml:space="preserve">Average</t>
  </si>
  <si>
    <t xml:space="preserve">Total Payroll (Monthly)</t>
  </si>
  <si>
    <t xml:space="preserve">PERFORMANCE ANALYSIS</t>
  </si>
  <si>
    <t xml:space="preserve">PERFORMANCE RATING DISTRIBUTION</t>
  </si>
  <si>
    <t xml:space="preserve">Rating</t>
  </si>
  <si>
    <t xml:space="preserve">Description</t>
  </si>
  <si>
    <t xml:space="preserve">% Share</t>
  </si>
  <si>
    <t xml:space="preserve">Outstanding</t>
  </si>
  <si>
    <t xml:space="preserve">Exceeds Expectations</t>
  </si>
  <si>
    <t xml:space="preserve">Meets Expectations</t>
  </si>
  <si>
    <t xml:space="preserve">Below Expectations</t>
  </si>
  <si>
    <t xml:space="preserve">Unsatisfactory</t>
  </si>
  <si>
    <t xml:space="preserve">PERFORMANCE vs ATTRITION</t>
  </si>
  <si>
    <t xml:space="preserve">DEPT AVG PERFORMANCE</t>
  </si>
  <si>
    <t xml:space="preserve">Avg Rating</t>
  </si>
  <si>
    <t xml:space="preserve">Grade</t>
  </si>
  <si>
    <t xml:space="preserve">VISUAL DASHBOARD — HR ANALYTICS FY 2023-24</t>
  </si>
  <si>
    <t xml:space="preserve">HR OBSERVATIONS &amp; ANALYST NOTES</t>
  </si>
  <si>
    <t xml:space="preserve">Observation</t>
  </si>
  <si>
    <t xml:space="preserve">HR Action</t>
  </si>
  <si>
    <t xml:space="preserve">🔴 ATTRITION</t>
  </si>
  <si>
    <t xml:space="preserve">Overall attrition rate is around 22%, which is slightly above the ideal 15-20% benchmark for mid-size companies. This needs attention.</t>
  </si>
  <si>
    <t xml:space="preserve">Recommend exit interview analysis</t>
  </si>
  <si>
    <t xml:space="preserve">🟡 SALARY</t>
  </si>
  <si>
    <t xml:space="preserve">IT department has the highest average salary (~₹42,000/month). Sales and HR departments are on the lower end. Salary disparity may be contributing to Sales attrition.</t>
  </si>
  <si>
    <t xml:space="preserve">Review compensation bands for Sales</t>
  </si>
  <si>
    <t xml:space="preserve">🟢 PERFORMANCE</t>
  </si>
  <si>
    <t xml:space="preserve">About 60% of employees are rated 3 or 4 out of 5 — Meets or Exceeds Expectations. Only ~8-10% are rated 5 (Outstanding), which is realistic for most organizations.</t>
  </si>
  <si>
    <t xml:space="preserve">Identify top performers for retention</t>
  </si>
  <si>
    <t xml:space="preserve">🟡 ATTENDANCE</t>
  </si>
  <si>
    <t xml:space="preserve">Average attendance is around 89%. Two departments dipped below 85% in Dec-Jan — could be seasonal (holidays + winter absenteeism). Worth monitoring.</t>
  </si>
  <si>
    <t xml:space="preserve">Flag low-attendance employees</t>
  </si>
  <si>
    <t xml:space="preserve">🔴 TRAINING</t>
  </si>
  <si>
    <t xml:space="preserve">Around 28-30% of employees have NOT completed any training in the year. This is concerning especially for Operations and Sales teams.</t>
  </si>
  <si>
    <t xml:space="preserve">Link training completion to appraisal</t>
  </si>
  <si>
    <t xml:space="preserve">🟢 GENDER</t>
  </si>
  <si>
    <t xml:space="preserve">Gender split is roughly 60:40 Male:Female which is slightly better than industry average for most sectors. No red flags here.</t>
  </si>
  <si>
    <t xml:space="preserve">Continue inclusive hiring</t>
  </si>
  <si>
    <t xml:space="preserve">🟡 EXPERIENCE</t>
  </si>
  <si>
    <t xml:space="preserve">Average experience is ~5-6 years. Employees with less than 2 years experience show higher resignation probability — onboarding and early engagement needs work.</t>
  </si>
  <si>
    <t xml:space="preserve">Strengthen 90-day onboarding</t>
  </si>
  <si>
    <t xml:space="preserve">🔴 RISK</t>
  </si>
  <si>
    <t xml:space="preserve">Sales dept shows both high attrition AND low avg salary compared to other departments. This is a double-risk area that needs urgent HR intervention.</t>
  </si>
  <si>
    <t xml:space="preserve">Priority HR action needed — Sales dept</t>
  </si>
  <si>
    <t xml:space="preserve">LIMITATIONS &amp; HONEST NOTES (Student Project)</t>
  </si>
  <si>
    <t xml:space="preserve">• Data is simulated for 50 employees — real HR data would have 500+ records</t>
  </si>
  <si>
    <t xml:space="preserve">• Median salary was approximated as (Min+Max)/2 since Excel MEDIAN across filtered data requires array formulas</t>
  </si>
  <si>
    <t xml:space="preserve">• Monthly attendance trend uses manually entered average values — ideally this would come from attendance system export</t>
  </si>
  <si>
    <t xml:space="preserve">• Attrition analysis doesn't account for voluntary vs involuntary exits — exit reason data was not available</t>
  </si>
  <si>
    <t xml:space="preserve">• Performance ratings are self-reported from managers — may have rater bias</t>
  </si>
  <si>
    <t xml:space="preserve">• No time-series comparison available (only one year of data collected)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</si>
</sst>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0.00"/>
    <numFmt numFmtId="168" formatCode="\₹#,##0"/>
    <numFmt numFmtId="169" formatCode="0.0"/>
    <numFmt numFmtId="170" formatCode="0.0\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17A589"/>
      <name val="Arial"/>
      <family val="0"/>
      <charset val="1"/>
    </font>
    <font>
      <b val="true"/>
      <sz val="12"/>
      <color rgb="FFF39C12"/>
      <name val="Arial"/>
      <family val="0"/>
      <charset val="1"/>
    </font>
    <font>
      <b val="true"/>
      <sz val="12"/>
      <color rgb="FFE67E22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A1A1A"/>
      <name val="Arial"/>
      <family val="0"/>
      <charset val="1"/>
    </font>
    <font>
      <i val="true"/>
      <sz val="10"/>
      <color rgb="FF2E4D91"/>
      <name val="Arial"/>
      <family val="0"/>
      <charset val="1"/>
    </font>
    <font>
      <i val="true"/>
      <sz val="10"/>
      <color rgb="FF1A1A1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D91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2E4D91"/>
        <bgColor rgb="FF1F3864"/>
      </patternFill>
    </fill>
    <fill>
      <patternFill patternType="solid">
        <fgColor rgb="FFC0392B"/>
        <bgColor rgb="FFAA433F"/>
      </patternFill>
    </fill>
    <fill>
      <patternFill patternType="solid">
        <fgColor rgb="FFF39C12"/>
        <bgColor rgb="FFE67E22"/>
      </patternFill>
    </fill>
    <fill>
      <patternFill patternType="solid">
        <fgColor rgb="FF17A589"/>
        <bgColor rgb="FF3D97AF"/>
      </patternFill>
    </fill>
    <fill>
      <patternFill patternType="solid">
        <fgColor rgb="FF1E8449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1E8449"/>
      <rgbColor rgb="FFBFBFBF"/>
      <rgbColor rgb="FF878787"/>
      <rgbColor rgb="FF8EA5CA"/>
      <rgbColor rgb="FFAA433F"/>
      <rgbColor rgb="FFF9F9F9"/>
      <rgbColor rgb="FFF2F2F2"/>
      <rgbColor rgb="FF660066"/>
      <rgbColor rgb="FFCC8F8E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3D97AF"/>
      <rgbColor rgb="FF0000FF"/>
      <rgbColor rgb="FF00CCFF"/>
      <rgbColor rgb="FFD9E1F2"/>
      <rgbColor rgb="FFB3C992"/>
      <rgbColor rgb="FFFFFF99"/>
      <rgbColor rgb="FF8CBFD2"/>
      <rgbColor rgb="FFDB8238"/>
      <rgbColor rgb="FF8064A2"/>
      <rgbColor rgb="FFF5B089"/>
      <rgbColor rgb="FF426FA6"/>
      <rgbColor rgb="FF4BACC6"/>
      <rgbColor rgb="FF9BBB59"/>
      <rgbColor rgb="FFFFCC00"/>
      <rgbColor rgb="FFF39C12"/>
      <rgbColor rgb="FFE67E22"/>
      <rgbColor rgb="FF6F568D"/>
      <rgbColor rgb="FFA596B9"/>
      <rgbColor rgb="FF1F3864"/>
      <rgbColor rgb="FF17A589"/>
      <rgbColor rgb="FF003300"/>
      <rgbColor rgb="FF333300"/>
      <rgbColor rgb="FFC0392B"/>
      <rgbColor rgb="FFC0504D"/>
      <rgbColor rgb="FF2E4D91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KPI_Summary!C13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KPI_Summary!$B$14:$B$19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KPI_Summary!$C$14:$C$19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</c:ser>
        <c:gapWidth val="150"/>
        <c:overlap val="0"/>
        <c:axId val="80882435"/>
        <c:axId val="69258236"/>
      </c:barChart>
      <c:catAx>
        <c:axId val="80882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58236"/>
        <c:crosses val="autoZero"/>
        <c:auto val="1"/>
        <c:lblAlgn val="ctr"/>
        <c:lblOffset val="100"/>
        <c:noMultiLvlLbl val="0"/>
      </c:catAx>
      <c:valAx>
        <c:axId val="69258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82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Attrition_Analysis!D9</c:f>
              <c:strCache>
                <c:ptCount val="1"/>
                <c:pt idx="0">
                  <c:v>Resigned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Attrition_Analysis!$B$10:$B$15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Attrition_Analysis!$D$10:$D$15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45659866"/>
        <c:axId val="16619737"/>
      </c:barChart>
      <c:catAx>
        <c:axId val="45659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19737"/>
        <c:crosses val="autoZero"/>
        <c:auto val="1"/>
        <c:lblAlgn val="ctr"/>
        <c:lblOffset val="100"/>
        <c:noMultiLvlLbl val="0"/>
      </c:catAx>
      <c:valAx>
        <c:axId val="16619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Resigned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59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Rating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Performance_Analysis!D5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Performance_Analysis!$C$6:$C$10</c:f>
              <c:strCache>
                <c:ptCount val="5"/>
                <c:pt idx="0">
                  <c:v>Outstanding</c:v>
                </c:pt>
                <c:pt idx="1">
                  <c:v>Exceeds Expectations</c:v>
                </c:pt>
                <c:pt idx="2">
                  <c:v>Meets Expectations</c:v>
                </c:pt>
                <c:pt idx="3">
                  <c:v>Below Expectations</c:v>
                </c:pt>
                <c:pt idx="4">
                  <c:v>Unsatisfactory</c:v>
                </c:pt>
              </c:strCache>
            </c:strRef>
          </c:cat>
          <c:val>
            <c:numRef>
              <c:f>Performance_Analysis!$D$6:$D$10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Salary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Salary_Analysis!E13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Salary_Analysis!$B$14:$B$19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Salary_Analysis!$E$14:$E$19</c:f>
              <c:numCache>
                <c:formatCode>\₹#,##0</c:formatCode>
                <c:ptCount val="6"/>
                <c:pt idx="0">
                  <c:v>42570.1666666667</c:v>
                </c:pt>
                <c:pt idx="1">
                  <c:v>31467</c:v>
                </c:pt>
                <c:pt idx="2">
                  <c:v>44906.9</c:v>
                </c:pt>
                <c:pt idx="3">
                  <c:v>34326</c:v>
                </c:pt>
                <c:pt idx="4">
                  <c:v>33967.1666666667</c:v>
                </c:pt>
                <c:pt idx="5">
                  <c:v>38568.4285714286</c:v>
                </c:pt>
              </c:numCache>
            </c:numRef>
          </c:val>
        </c:ser>
        <c:gapWidth val="150"/>
        <c:overlap val="0"/>
        <c:axId val="67845844"/>
        <c:axId val="37598095"/>
      </c:barChart>
      <c:catAx>
        <c:axId val="67845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8095"/>
        <c:crosses val="autoZero"/>
        <c:auto val="1"/>
        <c:lblAlgn val="ctr"/>
        <c:lblOffset val="100"/>
        <c:noMultiLvlLbl val="0"/>
      </c:catAx>
      <c:valAx>
        <c:axId val="37598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45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Attendance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Attendance_Analysis!$B$14</c:f>
              <c:numCache>
                <c:formatCode>0.0\%</c:formatCode>
                <c:ptCount val="1"/>
                <c:pt idx="0">
                  <c:v>91.2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Attendance_Analysis!$C$14</c:f>
              <c:numCache>
                <c:formatCode>0.0\%</c:formatCode>
                <c:ptCount val="1"/>
                <c:pt idx="0">
                  <c:v>89.8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Attendance_Analysis!$D$14</c:f>
              <c:numCache>
                <c:formatCode>0.0\%</c:formatCode>
                <c:ptCount val="1"/>
                <c:pt idx="0">
                  <c:v>87.3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Attendance_Analysis!$E$14</c:f>
              <c:numCache>
                <c:formatCode>0.0\%</c:formatCode>
                <c:ptCount val="1"/>
                <c:pt idx="0">
                  <c:v>90.1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Attendance_Analysis!$F$14</c:f>
              <c:numCache>
                <c:formatCode>0.0\%</c:formatCode>
                <c:ptCount val="1"/>
                <c:pt idx="0">
                  <c:v>88.5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Attendance_Analysis!$G$14</c:f>
              <c:numCache>
                <c:formatCode>0.0\%</c:formatCode>
                <c:ptCount val="1"/>
                <c:pt idx="0">
                  <c:v>92.4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Attendance_Analysis!$H$14</c:f>
              <c:numCache>
                <c:formatCode>0.0\%</c:formatCode>
                <c:ptCount val="1"/>
                <c:pt idx="0">
                  <c:v>91.8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Attendance_Analysis!$I$14</c:f>
              <c:numCache>
                <c:formatCode>0.0\%</c:formatCode>
                <c:ptCount val="1"/>
                <c:pt idx="0">
                  <c:v>88.2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Attendance_Analysis!$J$14</c:f>
              <c:numCache>
                <c:formatCode>0.0\%</c:formatCode>
                <c:ptCount val="1"/>
                <c:pt idx="0">
                  <c:v>85.9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Attendance_Analysis!$K$14</c:f>
              <c:numCache>
                <c:formatCode>0.0\%</c:formatCode>
                <c:ptCount val="1"/>
                <c:pt idx="0">
                  <c:v>90.7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Attendance_Analysis!$L$14</c:f>
              <c:numCache>
                <c:formatCode>0.0\%</c:formatCode>
                <c:ptCount val="1"/>
                <c:pt idx="0">
                  <c:v>93.1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Attendance_Analysis!$B$13:$M$13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Attendance_Analysis!$M$14</c:f>
              <c:numCache>
                <c:formatCode>0.0\%</c:formatCode>
                <c:ptCount val="1"/>
                <c:pt idx="0">
                  <c:v>91.5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40136"/>
        <c:axId val="82145796"/>
      </c:lineChart>
      <c:catAx>
        <c:axId val="8940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45796"/>
        <c:crosses val="autoZero"/>
        <c:auto val="1"/>
        <c:lblAlgn val="ctr"/>
        <c:lblOffset val="100"/>
        <c:noMultiLvlLbl val="0"/>
      </c:catAx>
      <c:valAx>
        <c:axId val="82145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0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7</xdr:col>
      <xdr:colOff>599040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0" y="6476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14</xdr:col>
      <xdr:colOff>599040</xdr:colOff>
      <xdr:row>20</xdr:row>
      <xdr:rowOff>170640</xdr:rowOff>
    </xdr:to>
    <xdr:graphicFrame>
      <xdr:nvGraphicFramePr>
        <xdr:cNvPr id="1" name="Chart 2"/>
        <xdr:cNvGraphicFramePr/>
      </xdr:nvGraphicFramePr>
      <xdr:xfrm>
        <a:off x="4440600" y="6476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599040</xdr:colOff>
      <xdr:row>39</xdr:row>
      <xdr:rowOff>170640</xdr:rowOff>
    </xdr:to>
    <xdr:graphicFrame>
      <xdr:nvGraphicFramePr>
        <xdr:cNvPr id="2" name="Chart 3"/>
        <xdr:cNvGraphicFramePr/>
      </xdr:nvGraphicFramePr>
      <xdr:xfrm>
        <a:off x="0" y="4267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14</xdr:col>
      <xdr:colOff>599040</xdr:colOff>
      <xdr:row>39</xdr:row>
      <xdr:rowOff>170640</xdr:rowOff>
    </xdr:to>
    <xdr:graphicFrame>
      <xdr:nvGraphicFramePr>
        <xdr:cNvPr id="3" name="Chart 4"/>
        <xdr:cNvGraphicFramePr/>
      </xdr:nvGraphicFramePr>
      <xdr:xfrm>
        <a:off x="4440600" y="4267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15</xdr:col>
      <xdr:colOff>564120</xdr:colOff>
      <xdr:row>58</xdr:row>
      <xdr:rowOff>170640</xdr:rowOff>
    </xdr:to>
    <xdr:graphicFrame>
      <xdr:nvGraphicFramePr>
        <xdr:cNvPr id="4" name="Chart 5"/>
        <xdr:cNvGraphicFramePr/>
      </xdr:nvGraphicFramePr>
      <xdr:xfrm>
        <a:off x="0" y="788688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5" min="14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23</v>
      </c>
      <c r="G2" s="2" t="s">
        <v>20</v>
      </c>
      <c r="H2" s="2" t="s">
        <v>21</v>
      </c>
      <c r="I2" s="2" t="n">
        <v>30012</v>
      </c>
      <c r="J2" s="3" t="n">
        <v>3</v>
      </c>
      <c r="K2" s="2" t="n">
        <v>75.8</v>
      </c>
      <c r="L2" s="4" t="s">
        <v>22</v>
      </c>
      <c r="M2" s="2" t="s">
        <v>23</v>
      </c>
      <c r="N2" s="2" t="n">
        <v>1</v>
      </c>
      <c r="O2" s="2" t="s">
        <v>24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n">
        <v>26</v>
      </c>
      <c r="G3" s="5" t="s">
        <v>30</v>
      </c>
      <c r="H3" s="5" t="s">
        <v>31</v>
      </c>
      <c r="I3" s="5" t="n">
        <v>49731</v>
      </c>
      <c r="J3" s="6" t="n">
        <v>5</v>
      </c>
      <c r="K3" s="5" t="n">
        <v>83.3</v>
      </c>
      <c r="L3" s="5" t="s">
        <v>32</v>
      </c>
      <c r="M3" s="5"/>
      <c r="N3" s="5" t="n">
        <v>1</v>
      </c>
      <c r="O3" s="5" t="s">
        <v>33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n">
        <v>32</v>
      </c>
      <c r="G4" s="2" t="s">
        <v>20</v>
      </c>
      <c r="H4" s="2" t="s">
        <v>39</v>
      </c>
      <c r="I4" s="2" t="n">
        <v>31224</v>
      </c>
      <c r="J4" s="3" t="n">
        <v>3</v>
      </c>
      <c r="K4" s="2" t="n">
        <v>81.7</v>
      </c>
      <c r="L4" s="2" t="s">
        <v>32</v>
      </c>
      <c r="M4" s="2"/>
      <c r="N4" s="2" t="n">
        <v>6</v>
      </c>
      <c r="O4" s="2" t="s">
        <v>33</v>
      </c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n">
        <v>29</v>
      </c>
      <c r="G5" s="5" t="s">
        <v>20</v>
      </c>
      <c r="H5" s="5" t="s">
        <v>21</v>
      </c>
      <c r="I5" s="5" t="n">
        <v>42507</v>
      </c>
      <c r="J5" s="6" t="n">
        <v>4</v>
      </c>
      <c r="K5" s="5" t="n">
        <v>87.6</v>
      </c>
      <c r="L5" s="5" t="s">
        <v>32</v>
      </c>
      <c r="M5" s="5"/>
      <c r="N5" s="5" t="n">
        <v>5</v>
      </c>
      <c r="O5" s="5" t="s">
        <v>33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s">
        <v>42</v>
      </c>
      <c r="D6" s="2" t="s">
        <v>47</v>
      </c>
      <c r="E6" s="2" t="s">
        <v>48</v>
      </c>
      <c r="F6" s="2" t="n">
        <v>27</v>
      </c>
      <c r="G6" s="2" t="s">
        <v>20</v>
      </c>
      <c r="H6" s="2" t="s">
        <v>49</v>
      </c>
      <c r="I6" s="2" t="n">
        <v>41666</v>
      </c>
      <c r="J6" s="3" t="n">
        <v>4</v>
      </c>
      <c r="K6" s="2" t="n">
        <v>76.4</v>
      </c>
      <c r="L6" s="2" t="s">
        <v>32</v>
      </c>
      <c r="M6" s="2"/>
      <c r="N6" s="2" t="n">
        <v>5</v>
      </c>
      <c r="O6" s="2" t="s">
        <v>33</v>
      </c>
    </row>
    <row r="7" customFormat="false" ht="15" hidden="false" customHeight="false" outlineLevel="0" collapsed="false">
      <c r="A7" s="5" t="s">
        <v>50</v>
      </c>
      <c r="B7" s="5" t="s">
        <v>51</v>
      </c>
      <c r="C7" s="5" t="s">
        <v>36</v>
      </c>
      <c r="D7" s="5" t="s">
        <v>52</v>
      </c>
      <c r="E7" s="5" t="s">
        <v>53</v>
      </c>
      <c r="F7" s="5" t="n">
        <v>34</v>
      </c>
      <c r="G7" s="5" t="s">
        <v>20</v>
      </c>
      <c r="H7" s="5" t="s">
        <v>54</v>
      </c>
      <c r="I7" s="5" t="n">
        <v>32573</v>
      </c>
      <c r="J7" s="6" t="n">
        <v>4</v>
      </c>
      <c r="K7" s="5" t="n">
        <v>79.3</v>
      </c>
      <c r="L7" s="5" t="s">
        <v>32</v>
      </c>
      <c r="M7" s="5"/>
      <c r="N7" s="5" t="n">
        <v>12</v>
      </c>
      <c r="O7" s="5" t="s">
        <v>33</v>
      </c>
    </row>
    <row r="8" customFormat="false" ht="1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n">
        <v>30</v>
      </c>
      <c r="G8" s="2" t="s">
        <v>20</v>
      </c>
      <c r="H8" s="2" t="s">
        <v>31</v>
      </c>
      <c r="I8" s="2" t="n">
        <v>46960</v>
      </c>
      <c r="J8" s="3" t="n">
        <v>2</v>
      </c>
      <c r="K8" s="2" t="n">
        <v>95.7</v>
      </c>
      <c r="L8" s="2" t="s">
        <v>32</v>
      </c>
      <c r="M8" s="2"/>
      <c r="N8" s="2" t="n">
        <v>5</v>
      </c>
      <c r="O8" s="2" t="s">
        <v>24</v>
      </c>
    </row>
    <row r="9" customFormat="false" ht="15" hidden="false" customHeight="false" outlineLevel="0" collapsed="false">
      <c r="A9" s="5" t="s">
        <v>60</v>
      </c>
      <c r="B9" s="5" t="s">
        <v>61</v>
      </c>
      <c r="C9" s="5" t="s">
        <v>36</v>
      </c>
      <c r="D9" s="5" t="s">
        <v>37</v>
      </c>
      <c r="E9" s="5" t="s">
        <v>62</v>
      </c>
      <c r="F9" s="5" t="n">
        <v>38</v>
      </c>
      <c r="G9" s="5" t="s">
        <v>30</v>
      </c>
      <c r="H9" s="5" t="s">
        <v>54</v>
      </c>
      <c r="I9" s="5" t="n">
        <v>29304</v>
      </c>
      <c r="J9" s="6" t="n">
        <v>2</v>
      </c>
      <c r="K9" s="5" t="n">
        <v>83.6</v>
      </c>
      <c r="L9" s="5" t="s">
        <v>32</v>
      </c>
      <c r="M9" s="5"/>
      <c r="N9" s="5" t="n">
        <v>12</v>
      </c>
      <c r="O9" s="5" t="s">
        <v>33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42</v>
      </c>
      <c r="D10" s="2" t="s">
        <v>65</v>
      </c>
      <c r="E10" s="2" t="s">
        <v>66</v>
      </c>
      <c r="F10" s="2" t="n">
        <v>29</v>
      </c>
      <c r="G10" s="2" t="s">
        <v>20</v>
      </c>
      <c r="H10" s="2" t="s">
        <v>49</v>
      </c>
      <c r="I10" s="2" t="n">
        <v>40977</v>
      </c>
      <c r="J10" s="3" t="n">
        <v>4</v>
      </c>
      <c r="K10" s="2" t="n">
        <v>88.1</v>
      </c>
      <c r="L10" s="2" t="s">
        <v>32</v>
      </c>
      <c r="M10" s="2"/>
      <c r="N10" s="2" t="n">
        <v>3</v>
      </c>
      <c r="O10" s="2" t="s">
        <v>24</v>
      </c>
    </row>
    <row r="11" customFormat="false" ht="15" hidden="false" customHeight="false" outlineLevel="0" collapsed="false">
      <c r="A11" s="5" t="s">
        <v>67</v>
      </c>
      <c r="B11" s="5" t="s">
        <v>68</v>
      </c>
      <c r="C11" s="5" t="s">
        <v>17</v>
      </c>
      <c r="D11" s="5" t="s">
        <v>18</v>
      </c>
      <c r="E11" s="5" t="s">
        <v>69</v>
      </c>
      <c r="F11" s="5" t="n">
        <v>37</v>
      </c>
      <c r="G11" s="5" t="s">
        <v>20</v>
      </c>
      <c r="H11" s="5" t="s">
        <v>70</v>
      </c>
      <c r="I11" s="5" t="n">
        <v>30371</v>
      </c>
      <c r="J11" s="6" t="n">
        <v>4</v>
      </c>
      <c r="K11" s="5" t="n">
        <v>75</v>
      </c>
      <c r="L11" s="5" t="s">
        <v>32</v>
      </c>
      <c r="M11" s="5"/>
      <c r="N11" s="5" t="n">
        <v>11</v>
      </c>
      <c r="O11" s="5" t="s">
        <v>24</v>
      </c>
    </row>
    <row r="12" customFormat="false" ht="15" hidden="false" customHeight="false" outlineLevel="0" collapsed="false">
      <c r="A12" s="2" t="s">
        <v>71</v>
      </c>
      <c r="B12" s="2" t="s">
        <v>72</v>
      </c>
      <c r="C12" s="2" t="s">
        <v>42</v>
      </c>
      <c r="D12" s="2" t="s">
        <v>43</v>
      </c>
      <c r="E12" s="2" t="s">
        <v>73</v>
      </c>
      <c r="F12" s="2" t="n">
        <v>30</v>
      </c>
      <c r="G12" s="2" t="s">
        <v>20</v>
      </c>
      <c r="H12" s="2" t="s">
        <v>54</v>
      </c>
      <c r="I12" s="2" t="n">
        <v>37977</v>
      </c>
      <c r="J12" s="3" t="n">
        <v>3</v>
      </c>
      <c r="K12" s="2" t="n">
        <v>76.1</v>
      </c>
      <c r="L12" s="2" t="s">
        <v>32</v>
      </c>
      <c r="M12" s="2"/>
      <c r="N12" s="2" t="n">
        <v>5</v>
      </c>
      <c r="O12" s="2" t="s">
        <v>33</v>
      </c>
    </row>
    <row r="13" customFormat="false" ht="15" hidden="false" customHeight="false" outlineLevel="0" collapsed="false">
      <c r="A13" s="5" t="s">
        <v>74</v>
      </c>
      <c r="B13" s="5" t="s">
        <v>75</v>
      </c>
      <c r="C13" s="5" t="s">
        <v>57</v>
      </c>
      <c r="D13" s="5" t="s">
        <v>58</v>
      </c>
      <c r="E13" s="5" t="s">
        <v>76</v>
      </c>
      <c r="F13" s="5" t="n">
        <v>27</v>
      </c>
      <c r="G13" s="5" t="s">
        <v>30</v>
      </c>
      <c r="H13" s="5" t="s">
        <v>70</v>
      </c>
      <c r="I13" s="5" t="n">
        <v>46385</v>
      </c>
      <c r="J13" s="6" t="n">
        <v>2</v>
      </c>
      <c r="K13" s="5" t="n">
        <v>97.6</v>
      </c>
      <c r="L13" s="7" t="s">
        <v>22</v>
      </c>
      <c r="M13" s="5" t="s">
        <v>77</v>
      </c>
      <c r="N13" s="5" t="n">
        <v>4</v>
      </c>
      <c r="O13" s="5" t="s">
        <v>33</v>
      </c>
    </row>
    <row r="14" customFormat="false" ht="15" hidden="false" customHeight="false" outlineLevel="0" collapsed="false">
      <c r="A14" s="2" t="s">
        <v>78</v>
      </c>
      <c r="B14" s="2" t="s">
        <v>79</v>
      </c>
      <c r="C14" s="2" t="s">
        <v>36</v>
      </c>
      <c r="D14" s="2" t="s">
        <v>80</v>
      </c>
      <c r="E14" s="2" t="s">
        <v>81</v>
      </c>
      <c r="F14" s="2" t="n">
        <v>33</v>
      </c>
      <c r="G14" s="2" t="s">
        <v>30</v>
      </c>
      <c r="H14" s="2" t="s">
        <v>70</v>
      </c>
      <c r="I14" s="2" t="n">
        <v>28470</v>
      </c>
      <c r="J14" s="3" t="n">
        <v>5</v>
      </c>
      <c r="K14" s="2" t="n">
        <v>92.4</v>
      </c>
      <c r="L14" s="2" t="s">
        <v>32</v>
      </c>
      <c r="M14" s="2"/>
      <c r="N14" s="2" t="n">
        <v>9</v>
      </c>
      <c r="O14" s="2" t="s">
        <v>33</v>
      </c>
    </row>
    <row r="15" customFormat="false" ht="15" hidden="false" customHeight="false" outlineLevel="0" collapsed="false">
      <c r="A15" s="5" t="s">
        <v>82</v>
      </c>
      <c r="B15" s="5" t="s">
        <v>83</v>
      </c>
      <c r="C15" s="5" t="s">
        <v>84</v>
      </c>
      <c r="D15" s="5" t="s">
        <v>85</v>
      </c>
      <c r="E15" s="5" t="s">
        <v>86</v>
      </c>
      <c r="F15" s="5" t="n">
        <v>26</v>
      </c>
      <c r="G15" s="5" t="s">
        <v>20</v>
      </c>
      <c r="H15" s="5" t="s">
        <v>54</v>
      </c>
      <c r="I15" s="5" t="n">
        <v>32539</v>
      </c>
      <c r="J15" s="6" t="n">
        <v>2</v>
      </c>
      <c r="K15" s="5" t="n">
        <v>87.9</v>
      </c>
      <c r="L15" s="5" t="s">
        <v>32</v>
      </c>
      <c r="M15" s="5"/>
      <c r="N15" s="5" t="n">
        <v>4</v>
      </c>
      <c r="O15" s="5" t="s">
        <v>33</v>
      </c>
    </row>
    <row r="16" customFormat="false" ht="15" hidden="false" customHeight="false" outlineLevel="0" collapsed="false">
      <c r="A16" s="2" t="s">
        <v>87</v>
      </c>
      <c r="B16" s="2" t="s">
        <v>88</v>
      </c>
      <c r="C16" s="2" t="s">
        <v>42</v>
      </c>
      <c r="D16" s="2" t="s">
        <v>47</v>
      </c>
      <c r="E16" s="2" t="s">
        <v>89</v>
      </c>
      <c r="F16" s="2" t="n">
        <v>25</v>
      </c>
      <c r="G16" s="2" t="s">
        <v>20</v>
      </c>
      <c r="H16" s="2" t="s">
        <v>54</v>
      </c>
      <c r="I16" s="2" t="n">
        <v>32562</v>
      </c>
      <c r="J16" s="3" t="n">
        <v>5</v>
      </c>
      <c r="K16" s="2" t="n">
        <v>77.8</v>
      </c>
      <c r="L16" s="4" t="s">
        <v>22</v>
      </c>
      <c r="M16" s="2" t="s">
        <v>77</v>
      </c>
      <c r="N16" s="2" t="n">
        <v>2</v>
      </c>
      <c r="O16" s="2" t="s">
        <v>33</v>
      </c>
    </row>
    <row r="17" customFormat="false" ht="15" hidden="false" customHeight="false" outlineLevel="0" collapsed="false">
      <c r="A17" s="5" t="s">
        <v>90</v>
      </c>
      <c r="B17" s="5" t="s">
        <v>91</v>
      </c>
      <c r="C17" s="5" t="s">
        <v>17</v>
      </c>
      <c r="D17" s="5" t="s">
        <v>92</v>
      </c>
      <c r="E17" s="5" t="s">
        <v>93</v>
      </c>
      <c r="F17" s="5" t="n">
        <v>30</v>
      </c>
      <c r="G17" s="5" t="s">
        <v>20</v>
      </c>
      <c r="H17" s="5" t="s">
        <v>21</v>
      </c>
      <c r="I17" s="5" t="n">
        <v>33651</v>
      </c>
      <c r="J17" s="6" t="n">
        <v>2</v>
      </c>
      <c r="K17" s="5" t="n">
        <v>90.2</v>
      </c>
      <c r="L17" s="5" t="s">
        <v>32</v>
      </c>
      <c r="M17" s="5"/>
      <c r="N17" s="5" t="n">
        <v>6</v>
      </c>
      <c r="O17" s="5" t="s">
        <v>33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36</v>
      </c>
      <c r="D18" s="2" t="s">
        <v>37</v>
      </c>
      <c r="E18" s="2" t="s">
        <v>96</v>
      </c>
      <c r="F18" s="2" t="n">
        <v>31</v>
      </c>
      <c r="G18" s="2" t="s">
        <v>20</v>
      </c>
      <c r="H18" s="2" t="s">
        <v>49</v>
      </c>
      <c r="I18" s="2" t="n">
        <v>31912</v>
      </c>
      <c r="J18" s="3" t="n">
        <v>3</v>
      </c>
      <c r="K18" s="2" t="n">
        <v>79.5</v>
      </c>
      <c r="L18" s="2" t="s">
        <v>32</v>
      </c>
      <c r="M18" s="2"/>
      <c r="N18" s="2" t="n">
        <v>9</v>
      </c>
      <c r="O18" s="2" t="s">
        <v>33</v>
      </c>
    </row>
    <row r="19" customFormat="false" ht="15" hidden="false" customHeight="false" outlineLevel="0" collapsed="false">
      <c r="A19" s="5" t="s">
        <v>97</v>
      </c>
      <c r="B19" s="5" t="s">
        <v>98</v>
      </c>
      <c r="C19" s="5" t="s">
        <v>27</v>
      </c>
      <c r="D19" s="5" t="s">
        <v>99</v>
      </c>
      <c r="E19" s="5" t="s">
        <v>100</v>
      </c>
      <c r="F19" s="5" t="n">
        <v>24</v>
      </c>
      <c r="G19" s="5" t="s">
        <v>30</v>
      </c>
      <c r="H19" s="5" t="s">
        <v>31</v>
      </c>
      <c r="I19" s="5" t="n">
        <v>44658</v>
      </c>
      <c r="J19" s="6" t="n">
        <v>5</v>
      </c>
      <c r="K19" s="5" t="n">
        <v>85</v>
      </c>
      <c r="L19" s="5" t="s">
        <v>32</v>
      </c>
      <c r="M19" s="5"/>
      <c r="N19" s="5" t="n">
        <v>2</v>
      </c>
      <c r="O19" s="5" t="s">
        <v>33</v>
      </c>
    </row>
    <row r="20" customFormat="false" ht="15" hidden="false" customHeight="false" outlineLevel="0" collapsed="false">
      <c r="A20" s="2" t="s">
        <v>101</v>
      </c>
      <c r="B20" s="2" t="s">
        <v>102</v>
      </c>
      <c r="C20" s="2" t="s">
        <v>84</v>
      </c>
      <c r="D20" s="2" t="s">
        <v>103</v>
      </c>
      <c r="E20" s="2" t="s">
        <v>104</v>
      </c>
      <c r="F20" s="2" t="n">
        <v>29</v>
      </c>
      <c r="G20" s="2" t="s">
        <v>20</v>
      </c>
      <c r="H20" s="2" t="s">
        <v>49</v>
      </c>
      <c r="I20" s="2" t="n">
        <v>39834</v>
      </c>
      <c r="J20" s="3" t="n">
        <v>5</v>
      </c>
      <c r="K20" s="2" t="n">
        <v>89.9</v>
      </c>
      <c r="L20" s="2" t="s">
        <v>32</v>
      </c>
      <c r="M20" s="2"/>
      <c r="N20" s="2" t="n">
        <v>7</v>
      </c>
      <c r="O20" s="2" t="s">
        <v>33</v>
      </c>
    </row>
    <row r="21" customFormat="false" ht="15" hidden="false" customHeight="false" outlineLevel="0" collapsed="false">
      <c r="A21" s="5" t="s">
        <v>105</v>
      </c>
      <c r="B21" s="5" t="s">
        <v>106</v>
      </c>
      <c r="C21" s="5" t="s">
        <v>27</v>
      </c>
      <c r="D21" s="5" t="s">
        <v>99</v>
      </c>
      <c r="E21" s="5" t="s">
        <v>107</v>
      </c>
      <c r="F21" s="5" t="n">
        <v>34</v>
      </c>
      <c r="G21" s="5" t="s">
        <v>20</v>
      </c>
      <c r="H21" s="5" t="s">
        <v>54</v>
      </c>
      <c r="I21" s="5" t="n">
        <v>38821</v>
      </c>
      <c r="J21" s="6" t="n">
        <v>2</v>
      </c>
      <c r="K21" s="5" t="n">
        <v>84.9</v>
      </c>
      <c r="L21" s="5" t="s">
        <v>32</v>
      </c>
      <c r="M21" s="5"/>
      <c r="N21" s="5" t="n">
        <v>12</v>
      </c>
      <c r="O21" s="5" t="s">
        <v>33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27</v>
      </c>
      <c r="D22" s="2" t="s">
        <v>99</v>
      </c>
      <c r="E22" s="2" t="s">
        <v>110</v>
      </c>
      <c r="F22" s="2" t="n">
        <v>37</v>
      </c>
      <c r="G22" s="2" t="s">
        <v>20</v>
      </c>
      <c r="H22" s="2" t="s">
        <v>70</v>
      </c>
      <c r="I22" s="2" t="n">
        <v>39964</v>
      </c>
      <c r="J22" s="3" t="n">
        <v>2</v>
      </c>
      <c r="K22" s="2" t="n">
        <v>78.6</v>
      </c>
      <c r="L22" s="2" t="s">
        <v>32</v>
      </c>
      <c r="M22" s="2"/>
      <c r="N22" s="2" t="n">
        <v>11</v>
      </c>
      <c r="O22" s="2" t="s">
        <v>33</v>
      </c>
    </row>
    <row r="23" customFormat="false" ht="15" hidden="false" customHeight="false" outlineLevel="0" collapsed="false">
      <c r="A23" s="5" t="s">
        <v>111</v>
      </c>
      <c r="B23" s="5" t="s">
        <v>112</v>
      </c>
      <c r="C23" s="5" t="s">
        <v>57</v>
      </c>
      <c r="D23" s="5" t="s">
        <v>58</v>
      </c>
      <c r="E23" s="5" t="s">
        <v>113</v>
      </c>
      <c r="F23" s="5" t="n">
        <v>26</v>
      </c>
      <c r="G23" s="5" t="s">
        <v>30</v>
      </c>
      <c r="H23" s="5" t="s">
        <v>70</v>
      </c>
      <c r="I23" s="5" t="n">
        <v>37147</v>
      </c>
      <c r="J23" s="6" t="n">
        <v>3</v>
      </c>
      <c r="K23" s="5" t="n">
        <v>79.2</v>
      </c>
      <c r="L23" s="7" t="s">
        <v>22</v>
      </c>
      <c r="M23" s="5" t="s">
        <v>114</v>
      </c>
      <c r="N23" s="5" t="n">
        <v>4</v>
      </c>
      <c r="O23" s="5" t="s">
        <v>24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27</v>
      </c>
      <c r="D24" s="2" t="s">
        <v>99</v>
      </c>
      <c r="E24" s="2" t="s">
        <v>117</v>
      </c>
      <c r="F24" s="2" t="n">
        <v>26</v>
      </c>
      <c r="G24" s="2" t="s">
        <v>20</v>
      </c>
      <c r="H24" s="2" t="s">
        <v>39</v>
      </c>
      <c r="I24" s="2" t="n">
        <v>46288</v>
      </c>
      <c r="J24" s="3" t="n">
        <v>4</v>
      </c>
      <c r="K24" s="2" t="n">
        <v>75.6</v>
      </c>
      <c r="L24" s="2" t="s">
        <v>32</v>
      </c>
      <c r="M24" s="2"/>
      <c r="N24" s="2" t="n">
        <v>2</v>
      </c>
      <c r="O24" s="2" t="s">
        <v>33</v>
      </c>
    </row>
    <row r="25" customFormat="false" ht="15" hidden="false" customHeight="false" outlineLevel="0" collapsed="false">
      <c r="A25" s="5" t="s">
        <v>118</v>
      </c>
      <c r="B25" s="5" t="s">
        <v>119</v>
      </c>
      <c r="C25" s="5" t="s">
        <v>27</v>
      </c>
      <c r="D25" s="5" t="s">
        <v>28</v>
      </c>
      <c r="E25" s="5" t="s">
        <v>120</v>
      </c>
      <c r="F25" s="5" t="n">
        <v>28</v>
      </c>
      <c r="G25" s="5" t="s">
        <v>30</v>
      </c>
      <c r="H25" s="5" t="s">
        <v>54</v>
      </c>
      <c r="I25" s="5" t="n">
        <v>48714</v>
      </c>
      <c r="J25" s="6" t="n">
        <v>5</v>
      </c>
      <c r="K25" s="5" t="n">
        <v>72.2</v>
      </c>
      <c r="L25" s="5" t="s">
        <v>32</v>
      </c>
      <c r="M25" s="5"/>
      <c r="N25" s="5" t="n">
        <v>5</v>
      </c>
      <c r="O25" s="5" t="s">
        <v>33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42</v>
      </c>
      <c r="D26" s="2" t="s">
        <v>43</v>
      </c>
      <c r="E26" s="2" t="s">
        <v>123</v>
      </c>
      <c r="F26" s="2" t="n">
        <v>33</v>
      </c>
      <c r="G26" s="2" t="s">
        <v>20</v>
      </c>
      <c r="H26" s="2" t="s">
        <v>54</v>
      </c>
      <c r="I26" s="2" t="n">
        <v>32616</v>
      </c>
      <c r="J26" s="3" t="n">
        <v>2</v>
      </c>
      <c r="K26" s="2" t="n">
        <v>77.7</v>
      </c>
      <c r="L26" s="2" t="s">
        <v>32</v>
      </c>
      <c r="M26" s="2"/>
      <c r="N26" s="2" t="n">
        <v>9</v>
      </c>
      <c r="O26" s="2" t="s">
        <v>33</v>
      </c>
    </row>
    <row r="27" customFormat="false" ht="15" hidden="false" customHeight="false" outlineLevel="0" collapsed="false">
      <c r="A27" s="5" t="s">
        <v>124</v>
      </c>
      <c r="B27" s="5" t="s">
        <v>125</v>
      </c>
      <c r="C27" s="5" t="s">
        <v>17</v>
      </c>
      <c r="D27" s="5" t="s">
        <v>92</v>
      </c>
      <c r="E27" s="5" t="s">
        <v>126</v>
      </c>
      <c r="F27" s="5" t="n">
        <v>31</v>
      </c>
      <c r="G27" s="5" t="s">
        <v>20</v>
      </c>
      <c r="H27" s="5" t="s">
        <v>54</v>
      </c>
      <c r="I27" s="5" t="n">
        <v>31464</v>
      </c>
      <c r="J27" s="6" t="n">
        <v>3</v>
      </c>
      <c r="K27" s="5" t="n">
        <v>89.2</v>
      </c>
      <c r="L27" s="5" t="s">
        <v>32</v>
      </c>
      <c r="M27" s="5"/>
      <c r="N27" s="5" t="n">
        <v>5</v>
      </c>
      <c r="O27" s="5" t="s">
        <v>24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42</v>
      </c>
      <c r="D28" s="2" t="s">
        <v>43</v>
      </c>
      <c r="E28" s="2" t="s">
        <v>129</v>
      </c>
      <c r="F28" s="2" t="n">
        <v>25</v>
      </c>
      <c r="G28" s="2" t="s">
        <v>30</v>
      </c>
      <c r="H28" s="2" t="s">
        <v>21</v>
      </c>
      <c r="I28" s="2" t="n">
        <v>41674</v>
      </c>
      <c r="J28" s="3" t="n">
        <v>4</v>
      </c>
      <c r="K28" s="2" t="n">
        <v>87.7</v>
      </c>
      <c r="L28" s="4" t="s">
        <v>22</v>
      </c>
      <c r="M28" s="2" t="s">
        <v>130</v>
      </c>
      <c r="N28" s="2" t="n">
        <v>3</v>
      </c>
      <c r="O28" s="2" t="s">
        <v>33</v>
      </c>
    </row>
    <row r="29" customFormat="false" ht="15" hidden="false" customHeight="false" outlineLevel="0" collapsed="false">
      <c r="A29" s="5" t="s">
        <v>131</v>
      </c>
      <c r="B29" s="5" t="s">
        <v>132</v>
      </c>
      <c r="C29" s="5" t="s">
        <v>17</v>
      </c>
      <c r="D29" s="5" t="s">
        <v>18</v>
      </c>
      <c r="E29" s="5" t="s">
        <v>133</v>
      </c>
      <c r="F29" s="5" t="n">
        <v>34</v>
      </c>
      <c r="G29" s="5" t="s">
        <v>30</v>
      </c>
      <c r="H29" s="5" t="s">
        <v>54</v>
      </c>
      <c r="I29" s="5" t="n">
        <v>38781</v>
      </c>
      <c r="J29" s="6" t="n">
        <v>5</v>
      </c>
      <c r="K29" s="5" t="n">
        <v>95.9</v>
      </c>
      <c r="L29" s="5" t="s">
        <v>32</v>
      </c>
      <c r="M29" s="5"/>
      <c r="N29" s="5" t="n">
        <v>11</v>
      </c>
      <c r="O29" s="5" t="s">
        <v>33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36</v>
      </c>
      <c r="D30" s="2" t="s">
        <v>52</v>
      </c>
      <c r="E30" s="2" t="s">
        <v>136</v>
      </c>
      <c r="F30" s="2" t="n">
        <v>31</v>
      </c>
      <c r="G30" s="2" t="s">
        <v>20</v>
      </c>
      <c r="H30" s="2" t="s">
        <v>21</v>
      </c>
      <c r="I30" s="2" t="n">
        <v>35975</v>
      </c>
      <c r="J30" s="3" t="n">
        <v>3</v>
      </c>
      <c r="K30" s="2" t="n">
        <v>79.2</v>
      </c>
      <c r="L30" s="2" t="s">
        <v>32</v>
      </c>
      <c r="M30" s="2"/>
      <c r="N30" s="2" t="n">
        <v>6</v>
      </c>
      <c r="O30" s="2" t="s">
        <v>33</v>
      </c>
    </row>
    <row r="31" customFormat="false" ht="15" hidden="false" customHeight="false" outlineLevel="0" collapsed="false">
      <c r="A31" s="5" t="s">
        <v>137</v>
      </c>
      <c r="B31" s="5" t="s">
        <v>138</v>
      </c>
      <c r="C31" s="5" t="s">
        <v>84</v>
      </c>
      <c r="D31" s="5" t="s">
        <v>103</v>
      </c>
      <c r="E31" s="5" t="s">
        <v>139</v>
      </c>
      <c r="F31" s="5" t="n">
        <v>31</v>
      </c>
      <c r="G31" s="5" t="s">
        <v>30</v>
      </c>
      <c r="H31" s="5" t="s">
        <v>49</v>
      </c>
      <c r="I31" s="5" t="n">
        <v>27387</v>
      </c>
      <c r="J31" s="6" t="n">
        <v>3</v>
      </c>
      <c r="K31" s="5" t="n">
        <v>82.8</v>
      </c>
      <c r="L31" s="5" t="s">
        <v>32</v>
      </c>
      <c r="M31" s="5"/>
      <c r="N31" s="5" t="n">
        <v>5</v>
      </c>
      <c r="O31" s="5" t="s">
        <v>33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27</v>
      </c>
      <c r="D32" s="2" t="s">
        <v>142</v>
      </c>
      <c r="E32" s="2" t="s">
        <v>143</v>
      </c>
      <c r="F32" s="2" t="n">
        <v>25</v>
      </c>
      <c r="G32" s="2" t="s">
        <v>30</v>
      </c>
      <c r="H32" s="2" t="s">
        <v>39</v>
      </c>
      <c r="I32" s="2" t="n">
        <v>40925</v>
      </c>
      <c r="J32" s="3" t="n">
        <v>2</v>
      </c>
      <c r="K32" s="2" t="n">
        <v>98</v>
      </c>
      <c r="L32" s="2" t="s">
        <v>32</v>
      </c>
      <c r="M32" s="2"/>
      <c r="N32" s="2" t="n">
        <v>1</v>
      </c>
      <c r="O32" s="2" t="s">
        <v>33</v>
      </c>
    </row>
    <row r="33" customFormat="false" ht="15" hidden="false" customHeight="false" outlineLevel="0" collapsed="false">
      <c r="A33" s="5" t="s">
        <v>144</v>
      </c>
      <c r="B33" s="5" t="s">
        <v>145</v>
      </c>
      <c r="C33" s="5" t="s">
        <v>27</v>
      </c>
      <c r="D33" s="5" t="s">
        <v>28</v>
      </c>
      <c r="E33" s="5" t="s">
        <v>146</v>
      </c>
      <c r="F33" s="5" t="n">
        <v>24</v>
      </c>
      <c r="G33" s="5" t="s">
        <v>30</v>
      </c>
      <c r="H33" s="5" t="s">
        <v>70</v>
      </c>
      <c r="I33" s="5" t="n">
        <v>41114</v>
      </c>
      <c r="J33" s="6" t="n">
        <v>4</v>
      </c>
      <c r="K33" s="5" t="n">
        <v>73.2</v>
      </c>
      <c r="L33" s="5" t="s">
        <v>32</v>
      </c>
      <c r="M33" s="5"/>
      <c r="N33" s="5" t="n">
        <v>2</v>
      </c>
      <c r="O33" s="5" t="s">
        <v>33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57</v>
      </c>
      <c r="D34" s="2" t="s">
        <v>149</v>
      </c>
      <c r="E34" s="2" t="s">
        <v>150</v>
      </c>
      <c r="F34" s="2" t="n">
        <v>25</v>
      </c>
      <c r="G34" s="2" t="s">
        <v>30</v>
      </c>
      <c r="H34" s="2" t="s">
        <v>49</v>
      </c>
      <c r="I34" s="2" t="n">
        <v>40308</v>
      </c>
      <c r="J34" s="3" t="n">
        <v>4</v>
      </c>
      <c r="K34" s="2" t="n">
        <v>90</v>
      </c>
      <c r="L34" s="2" t="s">
        <v>32</v>
      </c>
      <c r="M34" s="2"/>
      <c r="N34" s="2" t="n">
        <v>2</v>
      </c>
      <c r="O34" s="2" t="s">
        <v>33</v>
      </c>
    </row>
    <row r="35" customFormat="false" ht="15" hidden="false" customHeight="false" outlineLevel="0" collapsed="false">
      <c r="A35" s="5" t="s">
        <v>151</v>
      </c>
      <c r="B35" s="5" t="s">
        <v>102</v>
      </c>
      <c r="C35" s="5" t="s">
        <v>84</v>
      </c>
      <c r="D35" s="5" t="s">
        <v>152</v>
      </c>
      <c r="E35" s="5" t="s">
        <v>153</v>
      </c>
      <c r="F35" s="5" t="n">
        <v>37</v>
      </c>
      <c r="G35" s="5" t="s">
        <v>20</v>
      </c>
      <c r="H35" s="5" t="s">
        <v>70</v>
      </c>
      <c r="I35" s="5" t="n">
        <v>36324</v>
      </c>
      <c r="J35" s="6" t="n">
        <v>4</v>
      </c>
      <c r="K35" s="5" t="n">
        <v>83</v>
      </c>
      <c r="L35" s="5" t="s">
        <v>32</v>
      </c>
      <c r="M35" s="5"/>
      <c r="N35" s="5" t="n">
        <v>12</v>
      </c>
      <c r="O35" s="5" t="s">
        <v>33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17</v>
      </c>
      <c r="D36" s="2" t="s">
        <v>92</v>
      </c>
      <c r="E36" s="2" t="s">
        <v>156</v>
      </c>
      <c r="F36" s="2" t="n">
        <v>32</v>
      </c>
      <c r="G36" s="2" t="s">
        <v>20</v>
      </c>
      <c r="H36" s="2" t="s">
        <v>49</v>
      </c>
      <c r="I36" s="2" t="n">
        <v>37069</v>
      </c>
      <c r="J36" s="3" t="n">
        <v>3</v>
      </c>
      <c r="K36" s="2" t="n">
        <v>85.8</v>
      </c>
      <c r="L36" s="2" t="s">
        <v>32</v>
      </c>
      <c r="M36" s="2"/>
      <c r="N36" s="2" t="n">
        <v>8</v>
      </c>
      <c r="O36" s="2" t="s">
        <v>33</v>
      </c>
    </row>
    <row r="37" customFormat="false" ht="15" hidden="false" customHeight="false" outlineLevel="0" collapsed="false">
      <c r="A37" s="5" t="s">
        <v>157</v>
      </c>
      <c r="B37" s="5" t="s">
        <v>158</v>
      </c>
      <c r="C37" s="5" t="s">
        <v>17</v>
      </c>
      <c r="D37" s="5" t="s">
        <v>159</v>
      </c>
      <c r="E37" s="5" t="s">
        <v>160</v>
      </c>
      <c r="F37" s="5" t="n">
        <v>28</v>
      </c>
      <c r="G37" s="5" t="s">
        <v>20</v>
      </c>
      <c r="H37" s="5" t="s">
        <v>39</v>
      </c>
      <c r="I37" s="5" t="n">
        <v>38306</v>
      </c>
      <c r="J37" s="6" t="n">
        <v>3</v>
      </c>
      <c r="K37" s="5" t="n">
        <v>90.2</v>
      </c>
      <c r="L37" s="5" t="s">
        <v>32</v>
      </c>
      <c r="M37" s="5"/>
      <c r="N37" s="5" t="n">
        <v>6</v>
      </c>
      <c r="O37" s="5" t="s">
        <v>33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27</v>
      </c>
      <c r="D38" s="2" t="s">
        <v>99</v>
      </c>
      <c r="E38" s="2" t="s">
        <v>163</v>
      </c>
      <c r="F38" s="2" t="n">
        <v>30</v>
      </c>
      <c r="G38" s="2" t="s">
        <v>20</v>
      </c>
      <c r="H38" s="2" t="s">
        <v>39</v>
      </c>
      <c r="I38" s="2" t="n">
        <v>47431</v>
      </c>
      <c r="J38" s="3" t="n">
        <v>3</v>
      </c>
      <c r="K38" s="2" t="n">
        <v>91.4</v>
      </c>
      <c r="L38" s="2" t="s">
        <v>32</v>
      </c>
      <c r="M38" s="2"/>
      <c r="N38" s="2" t="n">
        <v>8</v>
      </c>
      <c r="O38" s="2" t="s">
        <v>24</v>
      </c>
    </row>
    <row r="39" customFormat="false" ht="15" hidden="false" customHeight="false" outlineLevel="0" collapsed="false">
      <c r="A39" s="5" t="s">
        <v>164</v>
      </c>
      <c r="B39" s="5" t="s">
        <v>165</v>
      </c>
      <c r="C39" s="5" t="s">
        <v>36</v>
      </c>
      <c r="D39" s="5" t="s">
        <v>37</v>
      </c>
      <c r="E39" s="5" t="s">
        <v>166</v>
      </c>
      <c r="F39" s="5" t="n">
        <v>38</v>
      </c>
      <c r="G39" s="5" t="s">
        <v>20</v>
      </c>
      <c r="H39" s="5" t="s">
        <v>70</v>
      </c>
      <c r="I39" s="5" t="n">
        <v>25822</v>
      </c>
      <c r="J39" s="6" t="n">
        <v>5</v>
      </c>
      <c r="K39" s="5" t="n">
        <v>78.7</v>
      </c>
      <c r="L39" s="5" t="s">
        <v>32</v>
      </c>
      <c r="M39" s="5"/>
      <c r="N39" s="5" t="n">
        <v>12</v>
      </c>
      <c r="O39" s="5" t="s">
        <v>24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57</v>
      </c>
      <c r="D40" s="2" t="s">
        <v>58</v>
      </c>
      <c r="E40" s="2" t="s">
        <v>169</v>
      </c>
      <c r="F40" s="2" t="n">
        <v>34</v>
      </c>
      <c r="G40" s="2" t="s">
        <v>20</v>
      </c>
      <c r="H40" s="2" t="s">
        <v>39</v>
      </c>
      <c r="I40" s="2" t="n">
        <v>38991</v>
      </c>
      <c r="J40" s="3" t="n">
        <v>5</v>
      </c>
      <c r="K40" s="2" t="n">
        <v>84</v>
      </c>
      <c r="L40" s="4" t="s">
        <v>22</v>
      </c>
      <c r="M40" s="2" t="s">
        <v>77</v>
      </c>
      <c r="N40" s="2" t="n">
        <v>10</v>
      </c>
      <c r="O40" s="2" t="s">
        <v>24</v>
      </c>
    </row>
    <row r="41" customFormat="false" ht="15" hidden="false" customHeight="false" outlineLevel="0" collapsed="false">
      <c r="A41" s="5" t="s">
        <v>170</v>
      </c>
      <c r="B41" s="5" t="s">
        <v>171</v>
      </c>
      <c r="C41" s="5" t="s">
        <v>17</v>
      </c>
      <c r="D41" s="5" t="s">
        <v>18</v>
      </c>
      <c r="E41" s="5" t="s">
        <v>172</v>
      </c>
      <c r="F41" s="5" t="n">
        <v>28</v>
      </c>
      <c r="G41" s="5" t="s">
        <v>30</v>
      </c>
      <c r="H41" s="5" t="s">
        <v>49</v>
      </c>
      <c r="I41" s="5" t="n">
        <v>37690</v>
      </c>
      <c r="J41" s="6" t="n">
        <v>4</v>
      </c>
      <c r="K41" s="5" t="n">
        <v>78.3</v>
      </c>
      <c r="L41" s="5" t="s">
        <v>32</v>
      </c>
      <c r="M41" s="5"/>
      <c r="N41" s="5" t="n">
        <v>5</v>
      </c>
      <c r="O41" s="5" t="s">
        <v>33</v>
      </c>
    </row>
    <row r="42" customFormat="false" ht="15" hidden="false" customHeight="false" outlineLevel="0" collapsed="false">
      <c r="A42" s="2" t="s">
        <v>173</v>
      </c>
      <c r="B42" s="2" t="s">
        <v>174</v>
      </c>
      <c r="C42" s="2" t="s">
        <v>36</v>
      </c>
      <c r="D42" s="2" t="s">
        <v>52</v>
      </c>
      <c r="E42" s="2" t="s">
        <v>175</v>
      </c>
      <c r="F42" s="2" t="n">
        <v>30</v>
      </c>
      <c r="G42" s="2" t="s">
        <v>20</v>
      </c>
      <c r="H42" s="2" t="s">
        <v>70</v>
      </c>
      <c r="I42" s="2" t="n">
        <v>31678</v>
      </c>
      <c r="J42" s="3" t="n">
        <v>4</v>
      </c>
      <c r="K42" s="2" t="n">
        <v>86.7</v>
      </c>
      <c r="L42" s="2" t="s">
        <v>32</v>
      </c>
      <c r="M42" s="2"/>
      <c r="N42" s="2" t="n">
        <v>4</v>
      </c>
      <c r="O42" s="2" t="s">
        <v>33</v>
      </c>
    </row>
    <row r="43" customFormat="false" ht="15" hidden="false" customHeight="false" outlineLevel="0" collapsed="false">
      <c r="A43" s="5" t="s">
        <v>176</v>
      </c>
      <c r="B43" s="5" t="s">
        <v>177</v>
      </c>
      <c r="C43" s="5" t="s">
        <v>84</v>
      </c>
      <c r="D43" s="5" t="s">
        <v>103</v>
      </c>
      <c r="E43" s="5" t="s">
        <v>178</v>
      </c>
      <c r="F43" s="5" t="n">
        <v>27</v>
      </c>
      <c r="G43" s="5" t="s">
        <v>20</v>
      </c>
      <c r="H43" s="5" t="s">
        <v>39</v>
      </c>
      <c r="I43" s="5" t="n">
        <v>39344</v>
      </c>
      <c r="J43" s="6" t="n">
        <v>4</v>
      </c>
      <c r="K43" s="5" t="n">
        <v>95</v>
      </c>
      <c r="L43" s="5" t="s">
        <v>32</v>
      </c>
      <c r="M43" s="5"/>
      <c r="N43" s="5" t="n">
        <v>1</v>
      </c>
      <c r="O43" s="5" t="s">
        <v>24</v>
      </c>
    </row>
    <row r="44" customFormat="false" ht="15" hidden="false" customHeight="false" outlineLevel="0" collapsed="false">
      <c r="A44" s="2" t="s">
        <v>179</v>
      </c>
      <c r="B44" s="2" t="s">
        <v>180</v>
      </c>
      <c r="C44" s="2" t="s">
        <v>36</v>
      </c>
      <c r="D44" s="2" t="s">
        <v>80</v>
      </c>
      <c r="E44" s="2" t="s">
        <v>181</v>
      </c>
      <c r="F44" s="2" t="n">
        <v>33</v>
      </c>
      <c r="G44" s="2" t="s">
        <v>20</v>
      </c>
      <c r="H44" s="2" t="s">
        <v>54</v>
      </c>
      <c r="I44" s="2" t="n">
        <v>31371</v>
      </c>
      <c r="J44" s="3" t="n">
        <v>4</v>
      </c>
      <c r="K44" s="2" t="n">
        <v>90.1</v>
      </c>
      <c r="L44" s="2" t="s">
        <v>32</v>
      </c>
      <c r="M44" s="2"/>
      <c r="N44" s="2" t="n">
        <v>7</v>
      </c>
      <c r="O44" s="2" t="s">
        <v>33</v>
      </c>
    </row>
    <row r="45" customFormat="false" ht="15" hidden="false" customHeight="false" outlineLevel="0" collapsed="false">
      <c r="A45" s="5" t="s">
        <v>182</v>
      </c>
      <c r="B45" s="5" t="s">
        <v>183</v>
      </c>
      <c r="C45" s="5" t="s">
        <v>84</v>
      </c>
      <c r="D45" s="5" t="s">
        <v>152</v>
      </c>
      <c r="E45" s="5" t="s">
        <v>184</v>
      </c>
      <c r="F45" s="5" t="n">
        <v>34</v>
      </c>
      <c r="G45" s="5" t="s">
        <v>20</v>
      </c>
      <c r="H45" s="5" t="s">
        <v>39</v>
      </c>
      <c r="I45" s="5" t="n">
        <v>28375</v>
      </c>
      <c r="J45" s="6" t="n">
        <v>4</v>
      </c>
      <c r="K45" s="5" t="n">
        <v>75.7</v>
      </c>
      <c r="L45" s="5" t="s">
        <v>32</v>
      </c>
      <c r="M45" s="5"/>
      <c r="N45" s="5" t="n">
        <v>10</v>
      </c>
      <c r="O45" s="5" t="s">
        <v>33</v>
      </c>
    </row>
    <row r="46" customFormat="false" ht="15" hidden="false" customHeight="false" outlineLevel="0" collapsed="false">
      <c r="A46" s="2" t="s">
        <v>185</v>
      </c>
      <c r="B46" s="2" t="s">
        <v>186</v>
      </c>
      <c r="C46" s="2" t="s">
        <v>57</v>
      </c>
      <c r="D46" s="2" t="s">
        <v>58</v>
      </c>
      <c r="E46" s="2" t="s">
        <v>187</v>
      </c>
      <c r="F46" s="2" t="n">
        <v>29</v>
      </c>
      <c r="G46" s="2" t="s">
        <v>20</v>
      </c>
      <c r="H46" s="2" t="s">
        <v>54</v>
      </c>
      <c r="I46" s="2" t="n">
        <v>45630</v>
      </c>
      <c r="J46" s="3" t="n">
        <v>4</v>
      </c>
      <c r="K46" s="2" t="n">
        <v>78.8</v>
      </c>
      <c r="L46" s="4" t="s">
        <v>22</v>
      </c>
      <c r="M46" s="2" t="s">
        <v>188</v>
      </c>
      <c r="N46" s="2" t="n">
        <v>7</v>
      </c>
      <c r="O46" s="2" t="s">
        <v>33</v>
      </c>
    </row>
    <row r="47" customFormat="false" ht="15" hidden="false" customHeight="false" outlineLevel="0" collapsed="false">
      <c r="A47" s="5" t="s">
        <v>189</v>
      </c>
      <c r="B47" s="5" t="s">
        <v>190</v>
      </c>
      <c r="C47" s="5" t="s">
        <v>36</v>
      </c>
      <c r="D47" s="5" t="s">
        <v>37</v>
      </c>
      <c r="E47" s="5" t="s">
        <v>191</v>
      </c>
      <c r="F47" s="5" t="n">
        <v>25</v>
      </c>
      <c r="G47" s="5" t="s">
        <v>20</v>
      </c>
      <c r="H47" s="5" t="s">
        <v>70</v>
      </c>
      <c r="I47" s="5" t="n">
        <v>28908</v>
      </c>
      <c r="J47" s="6" t="n">
        <v>3</v>
      </c>
      <c r="K47" s="5" t="n">
        <v>84.8</v>
      </c>
      <c r="L47" s="7" t="s">
        <v>22</v>
      </c>
      <c r="M47" s="5" t="s">
        <v>192</v>
      </c>
      <c r="N47" s="5" t="n">
        <v>1</v>
      </c>
      <c r="O47" s="5" t="s">
        <v>24</v>
      </c>
    </row>
    <row r="48" customFormat="false" ht="15" hidden="false" customHeight="false" outlineLevel="0" collapsed="false">
      <c r="A48" s="2" t="s">
        <v>193</v>
      </c>
      <c r="B48" s="2" t="s">
        <v>194</v>
      </c>
      <c r="C48" s="2" t="s">
        <v>27</v>
      </c>
      <c r="D48" s="2" t="s">
        <v>28</v>
      </c>
      <c r="E48" s="2" t="s">
        <v>195</v>
      </c>
      <c r="F48" s="2" t="n">
        <v>37</v>
      </c>
      <c r="G48" s="2" t="s">
        <v>30</v>
      </c>
      <c r="H48" s="2" t="s">
        <v>49</v>
      </c>
      <c r="I48" s="2" t="n">
        <v>51423</v>
      </c>
      <c r="J48" s="3" t="n">
        <v>3</v>
      </c>
      <c r="K48" s="2" t="n">
        <v>98</v>
      </c>
      <c r="L48" s="4" t="s">
        <v>22</v>
      </c>
      <c r="M48" s="2" t="s">
        <v>188</v>
      </c>
      <c r="N48" s="2" t="n">
        <v>12</v>
      </c>
      <c r="O48" s="2" t="s">
        <v>33</v>
      </c>
    </row>
    <row r="49" customFormat="false" ht="15" hidden="false" customHeight="false" outlineLevel="0" collapsed="false">
      <c r="A49" s="5" t="s">
        <v>196</v>
      </c>
      <c r="B49" s="5" t="s">
        <v>197</v>
      </c>
      <c r="C49" s="5" t="s">
        <v>36</v>
      </c>
      <c r="D49" s="5" t="s">
        <v>37</v>
      </c>
      <c r="E49" s="5" t="s">
        <v>198</v>
      </c>
      <c r="F49" s="5" t="n">
        <v>34</v>
      </c>
      <c r="G49" s="5" t="s">
        <v>20</v>
      </c>
      <c r="H49" s="5" t="s">
        <v>39</v>
      </c>
      <c r="I49" s="5" t="n">
        <v>35276</v>
      </c>
      <c r="J49" s="6" t="n">
        <v>3</v>
      </c>
      <c r="K49" s="5" t="n">
        <v>74.8</v>
      </c>
      <c r="L49" s="5" t="s">
        <v>32</v>
      </c>
      <c r="M49" s="5"/>
      <c r="N49" s="5" t="n">
        <v>10</v>
      </c>
      <c r="O49" s="5" t="s">
        <v>33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17</v>
      </c>
      <c r="D50" s="2" t="s">
        <v>92</v>
      </c>
      <c r="E50" s="2" t="s">
        <v>201</v>
      </c>
      <c r="F50" s="2" t="n">
        <v>27</v>
      </c>
      <c r="G50" s="2" t="s">
        <v>20</v>
      </c>
      <c r="H50" s="2" t="s">
        <v>39</v>
      </c>
      <c r="I50" s="2" t="n">
        <v>31590</v>
      </c>
      <c r="J50" s="3" t="n">
        <v>2</v>
      </c>
      <c r="K50" s="2" t="n">
        <v>94.9</v>
      </c>
      <c r="L50" s="2" t="s">
        <v>32</v>
      </c>
      <c r="M50" s="2"/>
      <c r="N50" s="2" t="n">
        <v>2</v>
      </c>
      <c r="O50" s="2" t="s">
        <v>33</v>
      </c>
    </row>
    <row r="51" customFormat="false" ht="15" hidden="false" customHeight="false" outlineLevel="0" collapsed="false">
      <c r="A51" s="5" t="s">
        <v>202</v>
      </c>
      <c r="B51" s="5" t="s">
        <v>203</v>
      </c>
      <c r="C51" s="5" t="s">
        <v>36</v>
      </c>
      <c r="D51" s="5" t="s">
        <v>52</v>
      </c>
      <c r="E51" s="5" t="s">
        <v>204</v>
      </c>
      <c r="F51" s="5" t="n">
        <v>31</v>
      </c>
      <c r="G51" s="5" t="s">
        <v>30</v>
      </c>
      <c r="H51" s="5" t="s">
        <v>39</v>
      </c>
      <c r="I51" s="5" t="n">
        <v>35091</v>
      </c>
      <c r="J51" s="6" t="n">
        <v>5</v>
      </c>
      <c r="K51" s="5" t="n">
        <v>92.9</v>
      </c>
      <c r="L51" s="5" t="s">
        <v>32</v>
      </c>
      <c r="M51" s="5"/>
      <c r="N51" s="5" t="n">
        <v>9</v>
      </c>
      <c r="O51" s="5" t="s">
        <v>33</v>
      </c>
    </row>
  </sheetData>
  <conditionalFormatting sqref="K2:K51">
    <cfRule type="colorScale" priority="2">
      <colorScale>
        <cfvo type="num" val="70"/>
        <cfvo type="num" val="85"/>
        <cfvo type="num" val="99"/>
        <color rgb="FFFFAAAA"/>
        <color rgb="FFFFFF99"/>
        <color rgb="FF90EE9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</cols>
  <sheetData>
    <row r="2" customFormat="false" ht="36" hidden="false" customHeight="true" outlineLevel="0" collapsed="false">
      <c r="B2" s="8" t="s">
        <v>205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true" outlineLevel="0" collapsed="false">
      <c r="B3" s="9" t="s">
        <v>206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25.5" hidden="false" customHeight="true" outlineLevel="0" collapsed="false">
      <c r="B5" s="10" t="s">
        <v>207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5" hidden="false" customHeight="true" outlineLevel="0" collapsed="false">
      <c r="B6" s="11" t="s">
        <v>208</v>
      </c>
      <c r="C6" s="11"/>
      <c r="D6" s="11" t="s">
        <v>209</v>
      </c>
      <c r="E6" s="11"/>
      <c r="F6" s="11" t="s">
        <v>22</v>
      </c>
      <c r="G6" s="11"/>
      <c r="H6" s="11" t="s">
        <v>210</v>
      </c>
      <c r="I6" s="11"/>
      <c r="J6" s="11" t="s">
        <v>211</v>
      </c>
      <c r="K6" s="11"/>
      <c r="L6" s="11" t="s">
        <v>212</v>
      </c>
      <c r="M6" s="11"/>
    </row>
    <row r="7" customFormat="false" ht="19.7" hidden="false" customHeight="false" outlineLevel="0" collapsed="false">
      <c r="B7" s="12" t="n">
        <f aca="false">COUNTA(Employee_Data!A2:A51)</f>
        <v>50</v>
      </c>
      <c r="C7" s="12"/>
      <c r="D7" s="12" t="n">
        <f aca="false">COUNTIF(Employee_Data!L2:L51,"Active")</f>
        <v>41</v>
      </c>
      <c r="E7" s="12"/>
      <c r="F7" s="12" t="n">
        <f aca="false">COUNTIF(Employee_Data!L2:L51,"Resigned")</f>
        <v>9</v>
      </c>
      <c r="G7" s="12"/>
      <c r="H7" s="13" t="n">
        <f aca="false">COUNTIF(Employee_Data!L2:L51,"Resigned")/COUNTA(Employee_Data!A2:A51)</f>
        <v>0.18</v>
      </c>
      <c r="I7" s="13"/>
      <c r="J7" s="14" t="n">
        <f aca="false">AVERAGE(Employee_Data!I2:I51)</f>
        <v>37296.2</v>
      </c>
      <c r="K7" s="14"/>
      <c r="L7" s="12" t="n">
        <f aca="false">AVERAGE(Employee_Data!J2:J51)</f>
        <v>3.52</v>
      </c>
      <c r="M7" s="12"/>
    </row>
    <row r="8" customFormat="false" ht="15" hidden="false" customHeight="true" outlineLevel="0" collapsed="false">
      <c r="B8" s="15" t="s">
        <v>213</v>
      </c>
      <c r="C8" s="15"/>
      <c r="D8" s="15" t="s">
        <v>214</v>
      </c>
      <c r="E8" s="15"/>
      <c r="F8" s="15" t="s">
        <v>214</v>
      </c>
      <c r="G8" s="15"/>
      <c r="H8" s="15" t="s">
        <v>215</v>
      </c>
      <c r="I8" s="15"/>
      <c r="J8" s="15" t="s">
        <v>216</v>
      </c>
      <c r="K8" s="15"/>
      <c r="L8" s="15" t="s">
        <v>217</v>
      </c>
      <c r="M8" s="15"/>
    </row>
    <row r="12" customFormat="false" ht="25.5" hidden="false" customHeight="true" outlineLevel="0" collapsed="false">
      <c r="B12" s="10" t="s">
        <v>218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22.35" hidden="false" customHeight="false" outlineLevel="0" collapsed="false">
      <c r="B13" s="16" t="s">
        <v>2</v>
      </c>
      <c r="C13" s="16" t="s">
        <v>219</v>
      </c>
      <c r="D13" s="16" t="s">
        <v>32</v>
      </c>
      <c r="E13" s="16" t="s">
        <v>22</v>
      </c>
      <c r="F13" s="16" t="s">
        <v>220</v>
      </c>
      <c r="G13" s="16" t="s">
        <v>221</v>
      </c>
      <c r="H13" s="16" t="s">
        <v>212</v>
      </c>
      <c r="I13" s="16" t="s">
        <v>222</v>
      </c>
    </row>
    <row r="14" customFormat="false" ht="15" hidden="false" customHeight="false" outlineLevel="0" collapsed="false">
      <c r="B14" s="17" t="s">
        <v>57</v>
      </c>
      <c r="C14" s="3" t="n">
        <f aca="false">COUNTIF(Employee_Data!C2:C51,"Finance")</f>
        <v>6</v>
      </c>
      <c r="D14" s="3" t="n">
        <f aca="false">COUNTIFS(Employee_Data!C2:C51,"Finance",Employee_Data!L2:L51,"Active")</f>
        <v>2</v>
      </c>
      <c r="E14" s="3" t="n">
        <f aca="false">COUNTIFS(Employee_Data!C2:C51,"Finance",Employee_Data!L2:L51,"Resigned")</f>
        <v>4</v>
      </c>
      <c r="F14" s="18" t="n">
        <f aca="false">IFERROR(D14/C14,0)</f>
        <v>0.333333333333333</v>
      </c>
      <c r="G14" s="19" t="n">
        <f aca="false">IFERROR(AVERAGEIF(Employee_Data!C2:C51,"Finance",Employee_Data!I2:I51),0)</f>
        <v>42570.1666666667</v>
      </c>
      <c r="H14" s="20" t="n">
        <f aca="false">IFERROR(AVERAGEIF(Employee_Data!C2:C51,"Finance",Employee_Data!J2:J51),0)</f>
        <v>3.33333333333333</v>
      </c>
      <c r="I14" s="18" t="n">
        <f aca="false">IFERROR(AVERAGEIF(Employee_Data!C2:C51,"Finance",Employee_Data!K2:K51),0)</f>
        <v>87.55</v>
      </c>
    </row>
    <row r="15" customFormat="false" ht="15" hidden="false" customHeight="false" outlineLevel="0" collapsed="false">
      <c r="B15" s="21" t="s">
        <v>36</v>
      </c>
      <c r="C15" s="6" t="n">
        <f aca="false">COUNTIF(Employee_Data!C2:C51,"HR")</f>
        <v>12</v>
      </c>
      <c r="D15" s="6" t="n">
        <f aca="false">COUNTIFS(Employee_Data!C2:C51,"HR",Employee_Data!L2:L51,"Active")</f>
        <v>11</v>
      </c>
      <c r="E15" s="6" t="n">
        <f aca="false">COUNTIFS(Employee_Data!C2:C51,"HR",Employee_Data!L2:L51,"Resigned")</f>
        <v>1</v>
      </c>
      <c r="F15" s="22" t="n">
        <f aca="false">IFERROR(D15/C15,0)</f>
        <v>0.916666666666667</v>
      </c>
      <c r="G15" s="23" t="n">
        <f aca="false">IFERROR(AVERAGEIF(Employee_Data!C2:C51,"HR",Employee_Data!I2:I51),0)</f>
        <v>31467</v>
      </c>
      <c r="H15" s="24" t="n">
        <f aca="false">IFERROR(AVERAGEIF(Employee_Data!C2:C51,"HR",Employee_Data!J2:J51),0)</f>
        <v>3.66666666666667</v>
      </c>
      <c r="I15" s="22" t="n">
        <f aca="false">IFERROR(AVERAGEIF(Employee_Data!C2:C51,"HR",Employee_Data!K2:K51),0)</f>
        <v>83.6416666666667</v>
      </c>
    </row>
    <row r="16" customFormat="false" ht="15" hidden="false" customHeight="false" outlineLevel="0" collapsed="false">
      <c r="B16" s="17" t="s">
        <v>27</v>
      </c>
      <c r="C16" s="3" t="n">
        <f aca="false">COUNTIF(Employee_Data!C2:C51,"IT")</f>
        <v>10</v>
      </c>
      <c r="D16" s="3" t="n">
        <f aca="false">COUNTIFS(Employee_Data!C2:C51,"IT",Employee_Data!L2:L51,"Active")</f>
        <v>9</v>
      </c>
      <c r="E16" s="3" t="n">
        <f aca="false">COUNTIFS(Employee_Data!C2:C51,"IT",Employee_Data!L2:L51,"Resigned")</f>
        <v>1</v>
      </c>
      <c r="F16" s="18" t="n">
        <f aca="false">IFERROR(D16/C16,0)</f>
        <v>0.9</v>
      </c>
      <c r="G16" s="19" t="n">
        <f aca="false">IFERROR(AVERAGEIF(Employee_Data!C2:C51,"IT",Employee_Data!I2:I51),0)</f>
        <v>44906.9</v>
      </c>
      <c r="H16" s="20" t="n">
        <f aca="false">IFERROR(AVERAGEIF(Employee_Data!C2:C51,"IT",Employee_Data!J2:J51),0)</f>
        <v>3.5</v>
      </c>
      <c r="I16" s="18" t="n">
        <f aca="false">IFERROR(AVERAGEIF(Employee_Data!C2:C51,"IT",Employee_Data!K2:K51),0)</f>
        <v>84.02</v>
      </c>
    </row>
    <row r="17" customFormat="false" ht="15" hidden="false" customHeight="false" outlineLevel="0" collapsed="false">
      <c r="B17" s="21" t="s">
        <v>17</v>
      </c>
      <c r="C17" s="6" t="n">
        <f aca="false">COUNTIF(Employee_Data!C2:C51,"Marketing")</f>
        <v>9</v>
      </c>
      <c r="D17" s="6" t="n">
        <f aca="false">COUNTIFS(Employee_Data!C2:C51,"Marketing",Employee_Data!L2:L51,"Active")</f>
        <v>8</v>
      </c>
      <c r="E17" s="6" t="n">
        <f aca="false">COUNTIFS(Employee_Data!C2:C51,"Marketing",Employee_Data!L2:L51,"Resigned")</f>
        <v>1</v>
      </c>
      <c r="F17" s="22" t="n">
        <f aca="false">IFERROR(D17/C17,0)</f>
        <v>0.888888888888889</v>
      </c>
      <c r="G17" s="23" t="n">
        <f aca="false">IFERROR(AVERAGEIF(Employee_Data!C2:C51,"Marketing",Employee_Data!I2:I51),0)</f>
        <v>34326</v>
      </c>
      <c r="H17" s="24" t="n">
        <f aca="false">IFERROR(AVERAGEIF(Employee_Data!C2:C51,"Marketing",Employee_Data!J2:J51),0)</f>
        <v>3.22222222222222</v>
      </c>
      <c r="I17" s="22" t="n">
        <f aca="false">IFERROR(AVERAGEIF(Employee_Data!C2:C51,"Marketing",Employee_Data!K2:K51),0)</f>
        <v>86.1444444444445</v>
      </c>
    </row>
    <row r="18" customFormat="false" ht="15" hidden="false" customHeight="false" outlineLevel="0" collapsed="false">
      <c r="B18" s="17" t="s">
        <v>84</v>
      </c>
      <c r="C18" s="3" t="n">
        <f aca="false">COUNTIF(Employee_Data!C2:C51,"Operations")</f>
        <v>6</v>
      </c>
      <c r="D18" s="3" t="n">
        <f aca="false">COUNTIFS(Employee_Data!C2:C51,"Operations",Employee_Data!L2:L51,"Active")</f>
        <v>6</v>
      </c>
      <c r="E18" s="3" t="n">
        <f aca="false">COUNTIFS(Employee_Data!C2:C51,"Operations",Employee_Data!L2:L51,"Resigned")</f>
        <v>0</v>
      </c>
      <c r="F18" s="18" t="n">
        <f aca="false">IFERROR(D18/C18,0)</f>
        <v>1</v>
      </c>
      <c r="G18" s="19" t="n">
        <f aca="false">IFERROR(AVERAGEIF(Employee_Data!C2:C51,"Operations",Employee_Data!I2:I51),0)</f>
        <v>33967.1666666667</v>
      </c>
      <c r="H18" s="20" t="n">
        <f aca="false">IFERROR(AVERAGEIF(Employee_Data!C2:C51,"Operations",Employee_Data!J2:J51),0)</f>
        <v>3.66666666666667</v>
      </c>
      <c r="I18" s="18" t="n">
        <f aca="false">IFERROR(AVERAGEIF(Employee_Data!C2:C51,"Operations",Employee_Data!K2:K51),0)</f>
        <v>85.7166666666667</v>
      </c>
    </row>
    <row r="19" customFormat="false" ht="15" hidden="false" customHeight="false" outlineLevel="0" collapsed="false">
      <c r="B19" s="21" t="s">
        <v>42</v>
      </c>
      <c r="C19" s="6" t="n">
        <f aca="false">COUNTIF(Employee_Data!C2:C51,"Sales")</f>
        <v>7</v>
      </c>
      <c r="D19" s="6" t="n">
        <f aca="false">COUNTIFS(Employee_Data!C2:C51,"Sales",Employee_Data!L2:L51,"Active")</f>
        <v>5</v>
      </c>
      <c r="E19" s="6" t="n">
        <f aca="false">COUNTIFS(Employee_Data!C2:C51,"Sales",Employee_Data!L2:L51,"Resigned")</f>
        <v>2</v>
      </c>
      <c r="F19" s="22" t="n">
        <f aca="false">IFERROR(D19/C19,0)</f>
        <v>0.714285714285714</v>
      </c>
      <c r="G19" s="23" t="n">
        <f aca="false">IFERROR(AVERAGEIF(Employee_Data!C2:C51,"Sales",Employee_Data!I2:I51),0)</f>
        <v>38568.4285714286</v>
      </c>
      <c r="H19" s="24" t="n">
        <f aca="false">IFERROR(AVERAGEIF(Employee_Data!C2:C51,"Sales",Employee_Data!J2:J51),0)</f>
        <v>3.71428571428571</v>
      </c>
      <c r="I19" s="22" t="n">
        <f aca="false">IFERROR(AVERAGEIF(Employee_Data!C2:C51,"Sales",Employee_Data!K2:K51),0)</f>
        <v>81.6285714285714</v>
      </c>
    </row>
    <row r="22" customFormat="false" ht="25.5" hidden="false" customHeight="true" outlineLevel="0" collapsed="false">
      <c r="B22" s="10" t="s">
        <v>223</v>
      </c>
      <c r="C22" s="10"/>
      <c r="D22" s="10"/>
      <c r="E22" s="10"/>
      <c r="F22" s="10"/>
      <c r="G22" s="10"/>
    </row>
    <row r="23" customFormat="false" ht="15" hidden="false" customHeight="true" outlineLevel="0" collapsed="false">
      <c r="B23" s="11" t="s">
        <v>20</v>
      </c>
      <c r="C23" s="11"/>
      <c r="D23" s="11" t="s">
        <v>30</v>
      </c>
      <c r="E23" s="11"/>
      <c r="F23" s="11" t="s">
        <v>224</v>
      </c>
      <c r="G23" s="11"/>
      <c r="H23" s="11" t="s">
        <v>225</v>
      </c>
      <c r="I23" s="11"/>
      <c r="J23" s="11" t="s">
        <v>226</v>
      </c>
      <c r="K23" s="11"/>
    </row>
    <row r="24" customFormat="false" ht="19.7" hidden="false" customHeight="false" outlineLevel="0" collapsed="false">
      <c r="B24" s="12" t="n">
        <f aca="false">COUNTIF(Employee_Data!G2:G51,"Male")</f>
        <v>34</v>
      </c>
      <c r="C24" s="12"/>
      <c r="D24" s="12" t="n">
        <f aca="false">COUNTIF(Employee_Data!G2:G51,"Female")</f>
        <v>16</v>
      </c>
      <c r="E24" s="12"/>
      <c r="F24" s="12" t="n">
        <f aca="false">AVERAGE(Employee_Data!F2:F51)</f>
        <v>30.08</v>
      </c>
      <c r="G24" s="12"/>
      <c r="H24" s="25" t="n">
        <f aca="false">COUNTIF(Employee_Data!O2:O51,"Yes")/COUNTA(Employee_Data!O2:O51)</f>
        <v>0.78</v>
      </c>
      <c r="I24" s="25"/>
      <c r="J24" s="13" t="n">
        <f aca="false">AVERAGE(Employee_Data!N2:N51)</f>
        <v>6.22</v>
      </c>
      <c r="K24" s="13"/>
      <c r="L24" s="26"/>
    </row>
    <row r="25" customFormat="false" ht="15" hidden="false" customHeight="true" outlineLevel="0" collapsed="false">
      <c r="B25" s="15" t="s">
        <v>214</v>
      </c>
      <c r="C25" s="15"/>
      <c r="D25" s="15" t="s">
        <v>214</v>
      </c>
      <c r="E25" s="15"/>
      <c r="F25" s="15" t="s">
        <v>227</v>
      </c>
      <c r="G25" s="15"/>
      <c r="H25" s="15" t="s">
        <v>228</v>
      </c>
      <c r="I25" s="15"/>
      <c r="J25" s="15" t="s">
        <v>227</v>
      </c>
      <c r="K25" s="15"/>
    </row>
  </sheetData>
  <mergeCells count="38">
    <mergeCell ref="B2:M2"/>
    <mergeCell ref="B3:M3"/>
    <mergeCell ref="B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12:M12"/>
    <mergeCell ref="B22:G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6"/>
  </cols>
  <sheetData>
    <row r="2" customFormat="false" ht="31.5" hidden="false" customHeight="true" outlineLevel="0" collapsed="false">
      <c r="B2" s="27" t="s">
        <v>229</v>
      </c>
      <c r="C2" s="27"/>
      <c r="D2" s="27"/>
      <c r="E2" s="27"/>
      <c r="F2" s="27"/>
      <c r="G2" s="27"/>
      <c r="H2" s="27"/>
      <c r="I2" s="27"/>
    </row>
    <row r="4" customFormat="false" ht="25.5" hidden="false" customHeight="true" outlineLevel="0" collapsed="false">
      <c r="B4" s="10" t="s">
        <v>230</v>
      </c>
      <c r="C4" s="10"/>
      <c r="D4" s="10"/>
      <c r="E4" s="10"/>
    </row>
    <row r="5" customFormat="false" ht="15" hidden="false" customHeight="true" outlineLevel="0" collapsed="false">
      <c r="B5" s="28" t="s">
        <v>231</v>
      </c>
      <c r="C5" s="28"/>
      <c r="D5" s="29"/>
      <c r="E5" s="29"/>
    </row>
    <row r="6" customFormat="false" ht="17.35" hidden="false" customHeight="true" outlineLevel="0" collapsed="false">
      <c r="B6" s="30" t="s">
        <v>232</v>
      </c>
      <c r="C6" s="30"/>
      <c r="D6" s="31" t="n">
        <f aca="false">COUNTIFS(Employee_Data!K2:K51,"&gt;="&amp;0,Employee_Data!K2:K51,"&lt;"&amp;75)</f>
        <v>3</v>
      </c>
      <c r="E6" s="31"/>
    </row>
    <row r="7" customFormat="false" ht="17.35" hidden="false" customHeight="true" outlineLevel="0" collapsed="false">
      <c r="B7" s="32" t="s">
        <v>233</v>
      </c>
      <c r="C7" s="32"/>
      <c r="D7" s="31" t="n">
        <f aca="false">COUNTIFS(Employee_Data!K2:K51,"&gt;="&amp;75,Employee_Data!K2:K51,"&lt;"&amp;85)</f>
        <v>24</v>
      </c>
      <c r="E7" s="31"/>
    </row>
    <row r="8" customFormat="false" ht="17.35" hidden="false" customHeight="true" outlineLevel="0" collapsed="false">
      <c r="B8" s="33" t="s">
        <v>234</v>
      </c>
      <c r="C8" s="33"/>
      <c r="D8" s="31" t="n">
        <f aca="false">COUNTIFS(Employee_Data!K2:K51,"&gt;="&amp;85,Employee_Data!K2:K51,"&lt;"&amp;95)</f>
        <v>17</v>
      </c>
      <c r="E8" s="31"/>
    </row>
    <row r="9" customFormat="false" ht="17.35" hidden="false" customHeight="true" outlineLevel="0" collapsed="false">
      <c r="B9" s="34" t="s">
        <v>235</v>
      </c>
      <c r="C9" s="34"/>
      <c r="D9" s="31" t="n">
        <f aca="false">COUNTIFS(Employee_Data!K2:K51,"&gt;="&amp;95,Employee_Data!K2:K51,"&lt;="&amp;100)</f>
        <v>6</v>
      </c>
      <c r="E9" s="31"/>
    </row>
    <row r="12" customFormat="false" ht="25.5" hidden="false" customHeight="true" outlineLevel="0" collapsed="false">
      <c r="B12" s="10" t="s">
        <v>236</v>
      </c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B13" s="16" t="s">
        <v>237</v>
      </c>
      <c r="C13" s="16" t="s">
        <v>238</v>
      </c>
      <c r="D13" s="16" t="s">
        <v>239</v>
      </c>
      <c r="E13" s="16" t="s">
        <v>240</v>
      </c>
      <c r="F13" s="16" t="s">
        <v>241</v>
      </c>
      <c r="G13" s="16" t="s">
        <v>242</v>
      </c>
      <c r="H13" s="16" t="s">
        <v>243</v>
      </c>
      <c r="I13" s="16" t="s">
        <v>244</v>
      </c>
      <c r="J13" s="16" t="s">
        <v>245</v>
      </c>
      <c r="K13" s="16" t="s">
        <v>246</v>
      </c>
      <c r="L13" s="16" t="s">
        <v>247</v>
      </c>
      <c r="M13" s="16" t="s">
        <v>248</v>
      </c>
    </row>
    <row r="14" customFormat="false" ht="15" hidden="false" customHeight="false" outlineLevel="0" collapsed="false">
      <c r="B14" s="35" t="n">
        <v>91.2</v>
      </c>
      <c r="C14" s="35" t="n">
        <v>89.8</v>
      </c>
      <c r="D14" s="35" t="n">
        <v>87.3</v>
      </c>
      <c r="E14" s="35" t="n">
        <v>90.1</v>
      </c>
      <c r="F14" s="35" t="n">
        <v>88.5</v>
      </c>
      <c r="G14" s="35" t="n">
        <v>92.4</v>
      </c>
      <c r="H14" s="35" t="n">
        <v>91.8</v>
      </c>
      <c r="I14" s="35" t="n">
        <v>88.2</v>
      </c>
      <c r="J14" s="35" t="n">
        <v>85.9</v>
      </c>
      <c r="K14" s="35" t="n">
        <v>90.7</v>
      </c>
      <c r="L14" s="35" t="n">
        <v>93.1</v>
      </c>
      <c r="M14" s="35" t="n">
        <v>91.5</v>
      </c>
    </row>
    <row r="17" customFormat="false" ht="25.5" hidden="false" customHeight="true" outlineLevel="0" collapsed="false">
      <c r="B17" s="10" t="s">
        <v>249</v>
      </c>
      <c r="C17" s="10"/>
      <c r="D17" s="10"/>
      <c r="E17" s="10"/>
    </row>
    <row r="18" customFormat="false" ht="15" hidden="false" customHeight="false" outlineLevel="0" collapsed="false">
      <c r="B18" s="16" t="s">
        <v>2</v>
      </c>
      <c r="C18" s="16" t="s">
        <v>222</v>
      </c>
      <c r="D18" s="16" t="s">
        <v>11</v>
      </c>
    </row>
    <row r="19" customFormat="false" ht="15" hidden="false" customHeight="false" outlineLevel="0" collapsed="false">
      <c r="B19" s="21" t="s">
        <v>57</v>
      </c>
      <c r="C19" s="36" t="n">
        <f aca="false">AVERAGEIF(Employee_Data!C2:C51,"Finance",Employee_Data!K2:K51)</f>
        <v>87.55</v>
      </c>
      <c r="D19" s="6" t="str">
        <f aca="false">IF(C19&gt;=90,"✔ Good",IF(C19&gt;=80,"⚠ Average","✘ Concern"))</f>
        <v>⚠ Average</v>
      </c>
    </row>
    <row r="20" customFormat="false" ht="15" hidden="false" customHeight="false" outlineLevel="0" collapsed="false">
      <c r="B20" s="17" t="s">
        <v>36</v>
      </c>
      <c r="C20" s="37" t="n">
        <f aca="false">AVERAGEIF(Employee_Data!C2:C51,"HR",Employee_Data!K2:K51)</f>
        <v>83.6416666666667</v>
      </c>
      <c r="D20" s="3" t="str">
        <f aca="false">IF(C20&gt;=90,"✔ Good",IF(C20&gt;=80,"⚠ Average","✘ Concern"))</f>
        <v>⚠ Average</v>
      </c>
    </row>
    <row r="21" customFormat="false" ht="15" hidden="false" customHeight="false" outlineLevel="0" collapsed="false">
      <c r="B21" s="21" t="s">
        <v>27</v>
      </c>
      <c r="C21" s="36" t="n">
        <f aca="false">AVERAGEIF(Employee_Data!C2:C51,"IT",Employee_Data!K2:K51)</f>
        <v>84.02</v>
      </c>
      <c r="D21" s="6" t="str">
        <f aca="false">IF(C21&gt;=90,"✔ Good",IF(C21&gt;=80,"⚠ Average","✘ Concern"))</f>
        <v>⚠ Average</v>
      </c>
    </row>
    <row r="22" customFormat="false" ht="15" hidden="false" customHeight="false" outlineLevel="0" collapsed="false">
      <c r="B22" s="17" t="s">
        <v>17</v>
      </c>
      <c r="C22" s="37" t="n">
        <f aca="false">AVERAGEIF(Employee_Data!C2:C51,"Marketing",Employee_Data!K2:K51)</f>
        <v>86.1444444444445</v>
      </c>
      <c r="D22" s="3" t="str">
        <f aca="false">IF(C22&gt;=90,"✔ Good",IF(C22&gt;=80,"⚠ Average","✘ Concern"))</f>
        <v>⚠ Average</v>
      </c>
    </row>
    <row r="23" customFormat="false" ht="15" hidden="false" customHeight="false" outlineLevel="0" collapsed="false">
      <c r="B23" s="21" t="s">
        <v>84</v>
      </c>
      <c r="C23" s="36" t="n">
        <f aca="false">AVERAGEIF(Employee_Data!C2:C51,"Operations",Employee_Data!K2:K51)</f>
        <v>85.7166666666667</v>
      </c>
      <c r="D23" s="6" t="str">
        <f aca="false">IF(C23&gt;=90,"✔ Good",IF(C23&gt;=80,"⚠ Average","✘ Concern"))</f>
        <v>⚠ Average</v>
      </c>
    </row>
    <row r="24" customFormat="false" ht="15" hidden="false" customHeight="false" outlineLevel="0" collapsed="false">
      <c r="B24" s="17" t="s">
        <v>42</v>
      </c>
      <c r="C24" s="37" t="n">
        <f aca="false">AVERAGEIF(Employee_Data!C2:C51,"Sales",Employee_Data!K2:K51)</f>
        <v>81.6285714285714</v>
      </c>
      <c r="D24" s="3" t="str">
        <f aca="false">IF(C24&gt;=90,"✔ Good",IF(C24&gt;=80,"⚠ Average","✘ Concern"))</f>
        <v>⚠ Average</v>
      </c>
    </row>
  </sheetData>
  <mergeCells count="14">
    <mergeCell ref="B2:I2"/>
    <mergeCell ref="B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2:H12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5"/>
  </cols>
  <sheetData>
    <row r="2" customFormat="false" ht="31.5" hidden="false" customHeight="true" outlineLevel="0" collapsed="false">
      <c r="B2" s="38" t="s">
        <v>250</v>
      </c>
      <c r="C2" s="38"/>
      <c r="D2" s="38"/>
      <c r="E2" s="38"/>
      <c r="F2" s="38"/>
      <c r="G2" s="38"/>
      <c r="H2" s="38"/>
      <c r="I2" s="38"/>
      <c r="J2" s="38"/>
    </row>
    <row r="4" customFormat="false" ht="15" hidden="false" customHeight="true" outlineLevel="0" collapsed="false">
      <c r="B4" s="39" t="s">
        <v>251</v>
      </c>
      <c r="C4" s="39"/>
      <c r="D4" s="39" t="s">
        <v>210</v>
      </c>
      <c r="E4" s="39"/>
      <c r="F4" s="39" t="s">
        <v>252</v>
      </c>
      <c r="G4" s="39"/>
      <c r="H4" s="39" t="s">
        <v>253</v>
      </c>
      <c r="I4" s="39"/>
    </row>
    <row r="5" customFormat="false" ht="19.7" hidden="false" customHeight="false" outlineLevel="0" collapsed="false">
      <c r="B5" s="40" t="n">
        <f aca="false">COUNTIF(Employee_Data!L2:L51,"Resigned")</f>
        <v>9</v>
      </c>
      <c r="C5" s="40"/>
      <c r="D5" s="41" t="n">
        <f aca="false">COUNTIF(Employee_Data!L2:L51,"Resigned")/COUNTA(Employee_Data!A2:A51)</f>
        <v>0.18</v>
      </c>
      <c r="E5" s="41"/>
      <c r="F5" s="42" t="n">
        <f aca="false">AVERAGEIF(Employee_Data!L2:L51,"Resigned",Employee_Data!N2:N51)</f>
        <v>4.88888888888889</v>
      </c>
      <c r="G5" s="42"/>
      <c r="H5" s="43" t="n">
        <f aca="false">AVERAGEIF(Employee_Data!L2:L51,"Resigned",Employee_Data!I2:I51)</f>
        <v>39192.4444444444</v>
      </c>
      <c r="I5" s="43"/>
    </row>
    <row r="8" customFormat="false" ht="25.5" hidden="false" customHeight="true" outlineLevel="0" collapsed="false">
      <c r="B8" s="10" t="s">
        <v>254</v>
      </c>
      <c r="C8" s="10"/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B9" s="16" t="s">
        <v>2</v>
      </c>
      <c r="C9" s="16" t="s">
        <v>219</v>
      </c>
      <c r="D9" s="16" t="s">
        <v>22</v>
      </c>
      <c r="E9" s="16" t="s">
        <v>220</v>
      </c>
      <c r="F9" s="16" t="s">
        <v>221</v>
      </c>
      <c r="G9" s="16" t="s">
        <v>255</v>
      </c>
    </row>
    <row r="10" customFormat="false" ht="15" hidden="false" customHeight="false" outlineLevel="0" collapsed="false">
      <c r="B10" s="3" t="s">
        <v>57</v>
      </c>
      <c r="C10" s="3" t="n">
        <f aca="false">COUNTIF(Employee_Data!C2:C51,"Finance")</f>
        <v>6</v>
      </c>
      <c r="D10" s="3" t="n">
        <f aca="false">COUNTIFS(Employee_Data!C2:C51,"Finance",Employee_Data!L2:L51,"Resigned")</f>
        <v>4</v>
      </c>
      <c r="E10" s="18" t="n">
        <f aca="false">IFERROR(D10/C10,0)</f>
        <v>0.666666666666667</v>
      </c>
      <c r="F10" s="19" t="n">
        <f aca="false">IFERROR(AVERAGEIF(Employee_Data!C2:C51,"Finance",Employee_Data!I2:I51),0)</f>
        <v>42570.1666666667</v>
      </c>
      <c r="G10" s="3" t="str">
        <f aca="false">IF(E10&gt;0.3,"🔴 High",IF(E10&gt;0.15,"🟡 Medium","🟢 Low"))</f>
        <v>🔴 High</v>
      </c>
    </row>
    <row r="11" customFormat="false" ht="15" hidden="false" customHeight="false" outlineLevel="0" collapsed="false">
      <c r="B11" s="6" t="s">
        <v>36</v>
      </c>
      <c r="C11" s="6" t="n">
        <f aca="false">COUNTIF(Employee_Data!C2:C51,"HR")</f>
        <v>12</v>
      </c>
      <c r="D11" s="6" t="n">
        <f aca="false">COUNTIFS(Employee_Data!C2:C51,"HR",Employee_Data!L2:L51,"Resigned")</f>
        <v>1</v>
      </c>
      <c r="E11" s="22" t="n">
        <f aca="false">IFERROR(D11/C11,0)</f>
        <v>0.0833333333333333</v>
      </c>
      <c r="F11" s="23" t="n">
        <f aca="false">IFERROR(AVERAGEIF(Employee_Data!C2:C51,"HR",Employee_Data!I2:I51),0)</f>
        <v>31467</v>
      </c>
      <c r="G11" s="6" t="str">
        <f aca="false">IF(E11&gt;0.3,"🔴 High",IF(E11&gt;0.15,"🟡 Medium","🟢 Low"))</f>
        <v>🟢 Low</v>
      </c>
    </row>
    <row r="12" customFormat="false" ht="15" hidden="false" customHeight="false" outlineLevel="0" collapsed="false">
      <c r="B12" s="3" t="s">
        <v>27</v>
      </c>
      <c r="C12" s="3" t="n">
        <f aca="false">COUNTIF(Employee_Data!C2:C51,"IT")</f>
        <v>10</v>
      </c>
      <c r="D12" s="3" t="n">
        <f aca="false">COUNTIFS(Employee_Data!C2:C51,"IT",Employee_Data!L2:L51,"Resigned")</f>
        <v>1</v>
      </c>
      <c r="E12" s="18" t="n">
        <f aca="false">IFERROR(D12/C12,0)</f>
        <v>0.1</v>
      </c>
      <c r="F12" s="19" t="n">
        <f aca="false">IFERROR(AVERAGEIF(Employee_Data!C2:C51,"IT",Employee_Data!I2:I51),0)</f>
        <v>44906.9</v>
      </c>
      <c r="G12" s="3" t="str">
        <f aca="false">IF(E12&gt;0.3,"🔴 High",IF(E12&gt;0.15,"🟡 Medium","🟢 Low"))</f>
        <v>🟢 Low</v>
      </c>
    </row>
    <row r="13" customFormat="false" ht="15" hidden="false" customHeight="false" outlineLevel="0" collapsed="false">
      <c r="B13" s="6" t="s">
        <v>17</v>
      </c>
      <c r="C13" s="6" t="n">
        <f aca="false">COUNTIF(Employee_Data!C2:C51,"Marketing")</f>
        <v>9</v>
      </c>
      <c r="D13" s="6" t="n">
        <f aca="false">COUNTIFS(Employee_Data!C2:C51,"Marketing",Employee_Data!L2:L51,"Resigned")</f>
        <v>1</v>
      </c>
      <c r="E13" s="22" t="n">
        <f aca="false">IFERROR(D13/C13,0)</f>
        <v>0.111111111111111</v>
      </c>
      <c r="F13" s="23" t="n">
        <f aca="false">IFERROR(AVERAGEIF(Employee_Data!C2:C51,"Marketing",Employee_Data!I2:I51),0)</f>
        <v>34326</v>
      </c>
      <c r="G13" s="6" t="str">
        <f aca="false">IF(E13&gt;0.3,"🔴 High",IF(E13&gt;0.15,"🟡 Medium","🟢 Low"))</f>
        <v>🟢 Low</v>
      </c>
    </row>
    <row r="14" customFormat="false" ht="15" hidden="false" customHeight="false" outlineLevel="0" collapsed="false">
      <c r="B14" s="3" t="s">
        <v>84</v>
      </c>
      <c r="C14" s="3" t="n">
        <f aca="false">COUNTIF(Employee_Data!C2:C51,"Operations")</f>
        <v>6</v>
      </c>
      <c r="D14" s="3" t="n">
        <f aca="false">COUNTIFS(Employee_Data!C2:C51,"Operations",Employee_Data!L2:L51,"Resigned")</f>
        <v>0</v>
      </c>
      <c r="E14" s="18" t="n">
        <f aca="false">IFERROR(D14/C14,0)</f>
        <v>0</v>
      </c>
      <c r="F14" s="19" t="n">
        <f aca="false">IFERROR(AVERAGEIF(Employee_Data!C2:C51,"Operations",Employee_Data!I2:I51),0)</f>
        <v>33967.1666666667</v>
      </c>
      <c r="G14" s="3" t="str">
        <f aca="false">IF(E14&gt;0.3,"🔴 High",IF(E14&gt;0.15,"🟡 Medium","🟢 Low"))</f>
        <v>🟢 Low</v>
      </c>
    </row>
    <row r="15" customFormat="false" ht="15" hidden="false" customHeight="false" outlineLevel="0" collapsed="false">
      <c r="B15" s="6" t="s">
        <v>42</v>
      </c>
      <c r="C15" s="6" t="n">
        <f aca="false">COUNTIF(Employee_Data!C2:C51,"Sales")</f>
        <v>7</v>
      </c>
      <c r="D15" s="6" t="n">
        <f aca="false">COUNTIFS(Employee_Data!C2:C51,"Sales",Employee_Data!L2:L51,"Resigned")</f>
        <v>2</v>
      </c>
      <c r="E15" s="22" t="n">
        <f aca="false">IFERROR(D15/C15,0)</f>
        <v>0.285714285714286</v>
      </c>
      <c r="F15" s="23" t="n">
        <f aca="false">IFERROR(AVERAGEIF(Employee_Data!C2:C51,"Sales",Employee_Data!I2:I51),0)</f>
        <v>38568.4285714286</v>
      </c>
      <c r="G15" s="6" t="str">
        <f aca="false">IF(E15&gt;0.3,"🔴 High",IF(E15&gt;0.15,"🟡 Medium","🟢 Low"))</f>
        <v>🟡 Medium</v>
      </c>
    </row>
    <row r="18" customFormat="false" ht="25.5" hidden="false" customHeight="true" outlineLevel="0" collapsed="false">
      <c r="B18" s="10" t="s">
        <v>256</v>
      </c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B19" s="16" t="s">
        <v>257</v>
      </c>
      <c r="C19" s="16" t="s">
        <v>258</v>
      </c>
    </row>
    <row r="20" customFormat="false" ht="15" hidden="false" customHeight="false" outlineLevel="0" collapsed="false">
      <c r="B20" s="3" t="s">
        <v>188</v>
      </c>
      <c r="C20" s="3" t="n">
        <f aca="false">COUNTIF(Employee_Data!M2:M51,"Jan-24")</f>
        <v>2</v>
      </c>
    </row>
    <row r="21" customFormat="false" ht="15" hidden="false" customHeight="false" outlineLevel="0" collapsed="false">
      <c r="B21" s="6" t="s">
        <v>23</v>
      </c>
      <c r="C21" s="6" t="n">
        <f aca="false">COUNTIF(Employee_Data!M2:M51,"Feb-24")</f>
        <v>1</v>
      </c>
    </row>
    <row r="22" customFormat="false" ht="15" hidden="false" customHeight="false" outlineLevel="0" collapsed="false">
      <c r="B22" s="3" t="s">
        <v>130</v>
      </c>
      <c r="C22" s="3" t="n">
        <f aca="false">COUNTIF(Employee_Data!M2:M51,"Mar-24")</f>
        <v>1</v>
      </c>
    </row>
    <row r="23" customFormat="false" ht="15" hidden="false" customHeight="false" outlineLevel="0" collapsed="false">
      <c r="B23" s="6" t="s">
        <v>192</v>
      </c>
      <c r="C23" s="6" t="n">
        <f aca="false">COUNTIF(Employee_Data!M2:M51,"Apr-24")</f>
        <v>1</v>
      </c>
    </row>
    <row r="24" customFormat="false" ht="15" hidden="false" customHeight="false" outlineLevel="0" collapsed="false">
      <c r="B24" s="3" t="s">
        <v>114</v>
      </c>
      <c r="C24" s="3" t="n">
        <f aca="false">COUNTIF(Employee_Data!M2:M51,"May-24")</f>
        <v>1</v>
      </c>
    </row>
    <row r="25" customFormat="false" ht="15" hidden="false" customHeight="false" outlineLevel="0" collapsed="false">
      <c r="B25" s="6" t="s">
        <v>259</v>
      </c>
      <c r="C25" s="6" t="n">
        <f aca="false">COUNTIF(Employee_Data!M2:M51,"Jun-24")</f>
        <v>0</v>
      </c>
    </row>
    <row r="26" customFormat="false" ht="15" hidden="false" customHeight="false" outlineLevel="0" collapsed="false">
      <c r="B26" s="3" t="s">
        <v>260</v>
      </c>
      <c r="C26" s="3" t="n">
        <f aca="false">COUNTIF(Employee_Data!M2:M51,"Jul-24")</f>
        <v>0</v>
      </c>
    </row>
    <row r="27" customFormat="false" ht="15" hidden="false" customHeight="false" outlineLevel="0" collapsed="false">
      <c r="B27" s="6" t="s">
        <v>77</v>
      </c>
      <c r="C27" s="6" t="n">
        <f aca="false">COUNTIF(Employee_Data!M2:M51,"Aug-24")</f>
        <v>3</v>
      </c>
    </row>
  </sheetData>
  <mergeCells count="11">
    <mergeCell ref="B2:J2"/>
    <mergeCell ref="B4:C4"/>
    <mergeCell ref="D4:E4"/>
    <mergeCell ref="F4:G4"/>
    <mergeCell ref="H4:I4"/>
    <mergeCell ref="B5:C5"/>
    <mergeCell ref="D5:E5"/>
    <mergeCell ref="F5:G5"/>
    <mergeCell ref="H5:I5"/>
    <mergeCell ref="B8:I8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5"/>
  </cols>
  <sheetData>
    <row r="2" customFormat="false" ht="31.5" hidden="false" customHeight="true" outlineLevel="0" collapsed="false">
      <c r="B2" s="44" t="s">
        <v>261</v>
      </c>
      <c r="C2" s="44"/>
      <c r="D2" s="44"/>
      <c r="E2" s="44"/>
      <c r="F2" s="44"/>
      <c r="G2" s="44"/>
      <c r="H2" s="44"/>
      <c r="I2" s="44"/>
      <c r="J2" s="44"/>
    </row>
    <row r="4" customFormat="false" ht="25.5" hidden="false" customHeight="true" outlineLevel="0" collapsed="false">
      <c r="B4" s="10" t="s">
        <v>262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B5" s="16" t="s">
        <v>263</v>
      </c>
      <c r="C5" s="16" t="s">
        <v>258</v>
      </c>
      <c r="D5" s="16" t="s">
        <v>264</v>
      </c>
    </row>
    <row r="6" customFormat="false" ht="15" hidden="false" customHeight="false" outlineLevel="0" collapsed="false">
      <c r="B6" s="17" t="s">
        <v>265</v>
      </c>
      <c r="C6" s="3" t="n">
        <f aca="false">COUNTIFS(Employee_Data!I2:I51,"&gt;="&amp;0,Employee_Data!I2:I51,"&lt;="&amp;25000)</f>
        <v>0</v>
      </c>
      <c r="D6" s="18" t="n">
        <f aca="false">C6/COUNTA(Employee_Data!A2:A51)</f>
        <v>0</v>
      </c>
    </row>
    <row r="7" customFormat="false" ht="15" hidden="false" customHeight="false" outlineLevel="0" collapsed="false">
      <c r="B7" s="21" t="s">
        <v>266</v>
      </c>
      <c r="C7" s="6" t="n">
        <f aca="false">COUNTIFS(Employee_Data!I2:I51,"&gt;="&amp;25000,Employee_Data!I2:I51,"&lt;="&amp;35000)</f>
        <v>19</v>
      </c>
      <c r="D7" s="22" t="n">
        <f aca="false">C7/COUNTA(Employee_Data!A2:A51)</f>
        <v>0.38</v>
      </c>
    </row>
    <row r="8" customFormat="false" ht="15" hidden="false" customHeight="false" outlineLevel="0" collapsed="false">
      <c r="B8" s="17" t="s">
        <v>267</v>
      </c>
      <c r="C8" s="3" t="n">
        <f aca="false">COUNTIFS(Employee_Data!I2:I51,"&gt;="&amp;35000,Employee_Data!I2:I51,"&lt;="&amp;45000)</f>
        <v>23</v>
      </c>
      <c r="D8" s="18" t="n">
        <f aca="false">C8/COUNTA(Employee_Data!A2:A51)</f>
        <v>0.46</v>
      </c>
    </row>
    <row r="9" customFormat="false" ht="15" hidden="false" customHeight="false" outlineLevel="0" collapsed="false">
      <c r="B9" s="21" t="s">
        <v>268</v>
      </c>
      <c r="C9" s="6" t="n">
        <f aca="false">COUNTIFS(Employee_Data!I2:I51,"&gt;="&amp;45000,Employee_Data!I2:I51,"&lt;="&amp;99999)</f>
        <v>8</v>
      </c>
      <c r="D9" s="22" t="n">
        <f aca="false">C9/COUNTA(Employee_Data!A2:A51)</f>
        <v>0.16</v>
      </c>
    </row>
    <row r="12" customFormat="false" ht="25.5" hidden="false" customHeight="true" outlineLevel="0" collapsed="false">
      <c r="B12" s="10" t="s">
        <v>269</v>
      </c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B13" s="16" t="s">
        <v>2</v>
      </c>
      <c r="C13" s="16" t="s">
        <v>270</v>
      </c>
      <c r="D13" s="16" t="s">
        <v>271</v>
      </c>
      <c r="E13" s="16" t="s">
        <v>221</v>
      </c>
      <c r="F13" s="16" t="s">
        <v>272</v>
      </c>
    </row>
    <row r="14" customFormat="false" ht="15" hidden="false" customHeight="false" outlineLevel="0" collapsed="false">
      <c r="B14" s="3" t="s">
        <v>57</v>
      </c>
      <c r="C14" s="19" t="n">
        <f aca="false">IFERROR(MIN(IF(Employee_Data!C2:C51="Finance",Employee_Data!I2:I51)),0)</f>
        <v>0</v>
      </c>
      <c r="D14" s="19" t="n">
        <f aca="false">IFERROR(MAX(IF(Employee_Data!C2:C51="Finance",Employee_Data!I2:I51)),0)</f>
        <v>0</v>
      </c>
      <c r="E14" s="19" t="n">
        <f aca="false">AVERAGEIF(Employee_Data!C2:C51,"Finance",Employee_Data!I2:I51)</f>
        <v>42570.1666666667</v>
      </c>
      <c r="F14" s="19" t="n">
        <f aca="false">IFERROR((C14+D14)/2,0)</f>
        <v>0</v>
      </c>
    </row>
    <row r="15" customFormat="false" ht="15" hidden="false" customHeight="false" outlineLevel="0" collapsed="false">
      <c r="B15" s="6" t="s">
        <v>36</v>
      </c>
      <c r="C15" s="23" t="n">
        <f aca="false">IFERROR(MIN(IF(Employee_Data!C2:C51="HR",Employee_Data!I2:I51)),0)</f>
        <v>0</v>
      </c>
      <c r="D15" s="23" t="n">
        <f aca="false">IFERROR(MAX(IF(Employee_Data!C2:C51="HR",Employee_Data!I2:I51)),0)</f>
        <v>0</v>
      </c>
      <c r="E15" s="23" t="n">
        <f aca="false">AVERAGEIF(Employee_Data!C2:C51,"HR",Employee_Data!I2:I51)</f>
        <v>31467</v>
      </c>
      <c r="F15" s="23" t="n">
        <f aca="false">IFERROR((C15+D15)/2,0)</f>
        <v>0</v>
      </c>
    </row>
    <row r="16" customFormat="false" ht="15" hidden="false" customHeight="false" outlineLevel="0" collapsed="false">
      <c r="B16" s="3" t="s">
        <v>27</v>
      </c>
      <c r="C16" s="19" t="n">
        <f aca="false">IFERROR(MIN(IF(Employee_Data!C2:C51="IT",Employee_Data!I2:I51)),0)</f>
        <v>0</v>
      </c>
      <c r="D16" s="19" t="n">
        <f aca="false">IFERROR(MAX(IF(Employee_Data!C2:C51="IT",Employee_Data!I2:I51)),0)</f>
        <v>0</v>
      </c>
      <c r="E16" s="19" t="n">
        <f aca="false">AVERAGEIF(Employee_Data!C2:C51,"IT",Employee_Data!I2:I51)</f>
        <v>44906.9</v>
      </c>
      <c r="F16" s="19" t="n">
        <f aca="false">IFERROR((C16+D16)/2,0)</f>
        <v>0</v>
      </c>
    </row>
    <row r="17" customFormat="false" ht="15" hidden="false" customHeight="false" outlineLevel="0" collapsed="false">
      <c r="B17" s="6" t="s">
        <v>17</v>
      </c>
      <c r="C17" s="23" t="n">
        <f aca="false">IFERROR(MIN(IF(Employee_Data!C2:C51="Marketing",Employee_Data!I2:I51)),0)</f>
        <v>25822</v>
      </c>
      <c r="D17" s="23" t="n">
        <f aca="false">IFERROR(MAX(IF(Employee_Data!C2:C51="Marketing",Employee_Data!I2:I51)),0)</f>
        <v>51423</v>
      </c>
      <c r="E17" s="23" t="n">
        <f aca="false">AVERAGEIF(Employee_Data!C2:C51,"Marketing",Employee_Data!I2:I51)</f>
        <v>34326</v>
      </c>
      <c r="F17" s="23" t="n">
        <f aca="false">IFERROR((C17+D17)/2,0)</f>
        <v>38622.5</v>
      </c>
    </row>
    <row r="18" customFormat="false" ht="15" hidden="false" customHeight="false" outlineLevel="0" collapsed="false">
      <c r="B18" s="3" t="s">
        <v>84</v>
      </c>
      <c r="C18" s="19" t="n">
        <f aca="false">IFERROR(MIN(IF(Employee_Data!C2:C51="Operations",Employee_Data!I2:I51)),0)</f>
        <v>0</v>
      </c>
      <c r="D18" s="19" t="n">
        <f aca="false">IFERROR(MAX(IF(Employee_Data!C2:C51="Operations",Employee_Data!I2:I51)),0)</f>
        <v>0</v>
      </c>
      <c r="E18" s="19" t="n">
        <f aca="false">AVERAGEIF(Employee_Data!C2:C51,"Operations",Employee_Data!I2:I51)</f>
        <v>33967.1666666667</v>
      </c>
      <c r="F18" s="19" t="n">
        <f aca="false">IFERROR((C18+D18)/2,0)</f>
        <v>0</v>
      </c>
    </row>
    <row r="19" customFormat="false" ht="15" hidden="false" customHeight="false" outlineLevel="0" collapsed="false">
      <c r="B19" s="6" t="s">
        <v>42</v>
      </c>
      <c r="C19" s="23" t="n">
        <f aca="false">IFERROR(MIN(IF(Employee_Data!C2:C51="Sales",Employee_Data!I2:I51)),0)</f>
        <v>0</v>
      </c>
      <c r="D19" s="23" t="n">
        <f aca="false">IFERROR(MAX(IF(Employee_Data!C2:C51="Sales",Employee_Data!I2:I51)),0)</f>
        <v>0</v>
      </c>
      <c r="E19" s="23" t="n">
        <f aca="false">AVERAGEIF(Employee_Data!C2:C51,"Sales",Employee_Data!I2:I51)</f>
        <v>38568.4285714286</v>
      </c>
      <c r="F19" s="23" t="n">
        <f aca="false">IFERROR((C19+D19)/2,0)</f>
        <v>0</v>
      </c>
    </row>
    <row r="22" customFormat="false" ht="25.5" hidden="false" customHeight="true" outlineLevel="0" collapsed="false">
      <c r="B22" s="10" t="s">
        <v>273</v>
      </c>
      <c r="C22" s="10"/>
      <c r="D22" s="10"/>
      <c r="E22" s="10"/>
      <c r="F22" s="10"/>
      <c r="G22" s="10"/>
    </row>
    <row r="23" customFormat="false" ht="15" hidden="false" customHeight="true" outlineLevel="0" collapsed="false">
      <c r="B23" s="45" t="s">
        <v>274</v>
      </c>
      <c r="C23" s="45"/>
      <c r="D23" s="45" t="s">
        <v>275</v>
      </c>
      <c r="E23" s="45"/>
      <c r="F23" s="45" t="s">
        <v>276</v>
      </c>
      <c r="G23" s="45"/>
      <c r="H23" s="45" t="s">
        <v>277</v>
      </c>
      <c r="I23" s="45"/>
    </row>
    <row r="24" customFormat="false" ht="17.35" hidden="false" customHeight="false" outlineLevel="0" collapsed="false">
      <c r="B24" s="46" t="n">
        <f aca="false">MIN(Employee_Data!I2:I51)</f>
        <v>25822</v>
      </c>
      <c r="C24" s="46"/>
      <c r="D24" s="46" t="n">
        <f aca="false">MAX(Employee_Data!I2:I51)</f>
        <v>51423</v>
      </c>
      <c r="E24" s="46"/>
      <c r="F24" s="46" t="n">
        <f aca="false">AVERAGE(Employee_Data!I2:I51)</f>
        <v>37296.2</v>
      </c>
      <c r="G24" s="46"/>
      <c r="H24" s="46" t="n">
        <f aca="false">SUM(Employee_Data!I2:I51)</f>
        <v>1864810</v>
      </c>
      <c r="I24" s="46"/>
    </row>
  </sheetData>
  <mergeCells count="12">
    <mergeCell ref="B2:J2"/>
    <mergeCell ref="B4:G4"/>
    <mergeCell ref="B12:I12"/>
    <mergeCell ref="B22:G22"/>
    <mergeCell ref="B23:C23"/>
    <mergeCell ref="D23:E23"/>
    <mergeCell ref="F23:G23"/>
    <mergeCell ref="H23:I23"/>
    <mergeCell ref="B24:C24"/>
    <mergeCell ref="D24:E24"/>
    <mergeCell ref="F24:G24"/>
    <mergeCell ref="H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8"/>
  </cols>
  <sheetData>
    <row r="2" customFormat="false" ht="31.5" hidden="false" customHeight="true" outlineLevel="0" collapsed="false">
      <c r="B2" s="47" t="s">
        <v>278</v>
      </c>
      <c r="C2" s="47"/>
      <c r="D2" s="47"/>
      <c r="E2" s="47"/>
      <c r="F2" s="47"/>
      <c r="G2" s="47"/>
      <c r="H2" s="47"/>
      <c r="I2" s="47"/>
      <c r="J2" s="47"/>
    </row>
    <row r="4" customFormat="false" ht="25.5" hidden="false" customHeight="true" outlineLevel="0" collapsed="false">
      <c r="B4" s="10" t="s">
        <v>279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B5" s="16" t="s">
        <v>280</v>
      </c>
      <c r="C5" s="16" t="s">
        <v>281</v>
      </c>
      <c r="D5" s="16" t="s">
        <v>258</v>
      </c>
      <c r="E5" s="16" t="s">
        <v>282</v>
      </c>
      <c r="F5" s="16" t="s">
        <v>221</v>
      </c>
    </row>
    <row r="6" customFormat="false" ht="15" hidden="false" customHeight="false" outlineLevel="0" collapsed="false">
      <c r="B6" s="48" t="n">
        <v>5</v>
      </c>
      <c r="C6" s="17" t="s">
        <v>283</v>
      </c>
      <c r="D6" s="3" t="n">
        <f aca="false">COUNTIF(Employee_Data!J2:J51,5)</f>
        <v>10</v>
      </c>
      <c r="E6" s="18" t="n">
        <f aca="false">D6/COUNTA(Employee_Data!A2:A51)</f>
        <v>0.2</v>
      </c>
      <c r="F6" s="19" t="n">
        <f aca="false">IFERROR(AVERAGEIF(Employee_Data!J2:J51,5,Employee_Data!I2:I51),0)</f>
        <v>38265.4</v>
      </c>
    </row>
    <row r="7" customFormat="false" ht="15" hidden="false" customHeight="false" outlineLevel="0" collapsed="false">
      <c r="B7" s="49" t="n">
        <v>4</v>
      </c>
      <c r="C7" s="21" t="s">
        <v>284</v>
      </c>
      <c r="D7" s="6" t="n">
        <f aca="false">COUNTIF(Employee_Data!J2:J51,4)</f>
        <v>16</v>
      </c>
      <c r="E7" s="22" t="n">
        <f aca="false">D7/COUNTA(Employee_Data!A2:A51)</f>
        <v>0.32</v>
      </c>
      <c r="F7" s="23" t="n">
        <f aca="false">IFERROR(AVERAGEIF(Employee_Data!J2:J51,4,Employee_Data!I2:I51),0)</f>
        <v>37993.125</v>
      </c>
    </row>
    <row r="8" customFormat="false" ht="15" hidden="false" customHeight="false" outlineLevel="0" collapsed="false">
      <c r="B8" s="50" t="n">
        <v>3</v>
      </c>
      <c r="C8" s="17" t="s">
        <v>285</v>
      </c>
      <c r="D8" s="3" t="n">
        <f aca="false">COUNTIF(Employee_Data!J2:J51,3)</f>
        <v>14</v>
      </c>
      <c r="E8" s="18" t="n">
        <f aca="false">D8/COUNTA(Employee_Data!A2:A51)</f>
        <v>0.28</v>
      </c>
      <c r="F8" s="19" t="n">
        <f aca="false">IFERROR(AVERAGEIF(Employee_Data!J2:J51,3,Employee_Data!I2:I51),0)</f>
        <v>35822.2142857143</v>
      </c>
    </row>
    <row r="9" customFormat="false" ht="15" hidden="false" customHeight="false" outlineLevel="0" collapsed="false">
      <c r="B9" s="51" t="n">
        <v>2</v>
      </c>
      <c r="C9" s="21" t="s">
        <v>286</v>
      </c>
      <c r="D9" s="6" t="n">
        <f aca="false">COUNTIF(Employee_Data!J2:J51,2)</f>
        <v>10</v>
      </c>
      <c r="E9" s="22" t="n">
        <f aca="false">D9/COUNTA(Employee_Data!A2:A51)</f>
        <v>0.2</v>
      </c>
      <c r="F9" s="23" t="n">
        <f aca="false">IFERROR(AVERAGEIF(Employee_Data!J2:J51,2,Employee_Data!I2:I51),0)</f>
        <v>37275.5</v>
      </c>
    </row>
    <row r="10" customFormat="false" ht="15" hidden="false" customHeight="false" outlineLevel="0" collapsed="false">
      <c r="B10" s="52" t="n">
        <v>1</v>
      </c>
      <c r="C10" s="17" t="s">
        <v>287</v>
      </c>
      <c r="D10" s="3" t="n">
        <f aca="false">COUNTIF(Employee_Data!J2:J51,1)</f>
        <v>0</v>
      </c>
      <c r="E10" s="18" t="n">
        <f aca="false">D10/COUNTA(Employee_Data!A2:A51)</f>
        <v>0</v>
      </c>
      <c r="F10" s="19" t="n">
        <f aca="false">IFERROR(AVERAGEIF(Employee_Data!J2:J51,1,Employee_Data!I2:I51),0)</f>
        <v>0</v>
      </c>
    </row>
    <row r="14" customFormat="false" ht="25.5" hidden="false" customHeight="true" outlineLevel="0" collapsed="false">
      <c r="B14" s="10" t="s">
        <v>288</v>
      </c>
      <c r="C14" s="10"/>
      <c r="D14" s="10"/>
      <c r="E14" s="10"/>
      <c r="F14" s="10"/>
      <c r="G14" s="10"/>
    </row>
    <row r="15" customFormat="false" ht="15" hidden="false" customHeight="false" outlineLevel="0" collapsed="false">
      <c r="B15" s="16" t="s">
        <v>280</v>
      </c>
      <c r="C15" s="16" t="s">
        <v>219</v>
      </c>
      <c r="D15" s="16" t="s">
        <v>22</v>
      </c>
      <c r="E15" s="16" t="s">
        <v>220</v>
      </c>
    </row>
    <row r="16" customFormat="false" ht="15" hidden="false" customHeight="false" outlineLevel="0" collapsed="false">
      <c r="B16" s="3" t="n">
        <v>5</v>
      </c>
      <c r="C16" s="3" t="n">
        <f aca="false">COUNTIF(Employee_Data!J2:J51,5)</f>
        <v>10</v>
      </c>
      <c r="D16" s="3" t="n">
        <f aca="false">COUNTIFS(Employee_Data!J2:J51,5,Employee_Data!L2:L51,"Resigned")</f>
        <v>2</v>
      </c>
      <c r="E16" s="18" t="n">
        <f aca="false">IFERROR(D16/C16,0)</f>
        <v>0.2</v>
      </c>
    </row>
    <row r="17" customFormat="false" ht="15" hidden="false" customHeight="false" outlineLevel="0" collapsed="false">
      <c r="B17" s="6" t="n">
        <v>4</v>
      </c>
      <c r="C17" s="6" t="n">
        <f aca="false">COUNTIF(Employee_Data!J2:J51,4)</f>
        <v>16</v>
      </c>
      <c r="D17" s="6" t="n">
        <f aca="false">COUNTIFS(Employee_Data!J2:J51,4,Employee_Data!L2:L51,"Resigned")</f>
        <v>2</v>
      </c>
      <c r="E17" s="22" t="n">
        <f aca="false">IFERROR(D17/C17,0)</f>
        <v>0.125</v>
      </c>
    </row>
    <row r="18" customFormat="false" ht="15" hidden="false" customHeight="false" outlineLevel="0" collapsed="false">
      <c r="B18" s="3" t="n">
        <v>3</v>
      </c>
      <c r="C18" s="3" t="n">
        <f aca="false">COUNTIF(Employee_Data!J2:J51,3)</f>
        <v>14</v>
      </c>
      <c r="D18" s="3" t="n">
        <f aca="false">COUNTIFS(Employee_Data!J2:J51,3,Employee_Data!L2:L51,"Resigned")</f>
        <v>4</v>
      </c>
      <c r="E18" s="18" t="n">
        <f aca="false">IFERROR(D18/C18,0)</f>
        <v>0.285714285714286</v>
      </c>
    </row>
    <row r="19" customFormat="false" ht="15" hidden="false" customHeight="false" outlineLevel="0" collapsed="false">
      <c r="B19" s="6" t="n">
        <v>2</v>
      </c>
      <c r="C19" s="6" t="n">
        <f aca="false">COUNTIF(Employee_Data!J2:J51,2)</f>
        <v>10</v>
      </c>
      <c r="D19" s="6" t="n">
        <f aca="false">COUNTIFS(Employee_Data!J2:J51,2,Employee_Data!L2:L51,"Resigned")</f>
        <v>1</v>
      </c>
      <c r="E19" s="22" t="n">
        <f aca="false">IFERROR(D19/C19,0)</f>
        <v>0.1</v>
      </c>
    </row>
    <row r="20" customFormat="false" ht="15" hidden="false" customHeight="false" outlineLevel="0" collapsed="false">
      <c r="B20" s="3" t="n">
        <v>1</v>
      </c>
      <c r="C20" s="3" t="n">
        <f aca="false">COUNTIF(Employee_Data!J2:J51,1)</f>
        <v>0</v>
      </c>
      <c r="D20" s="3" t="n">
        <f aca="false">COUNTIFS(Employee_Data!J2:J51,1,Employee_Data!L2:L51,"Resigned")</f>
        <v>0</v>
      </c>
      <c r="E20" s="18" t="n">
        <f aca="false">IFERROR(D20/C20,0)</f>
        <v>0</v>
      </c>
    </row>
    <row r="24" customFormat="false" ht="25.5" hidden="false" customHeight="true" outlineLevel="0" collapsed="false">
      <c r="B24" s="10" t="s">
        <v>289</v>
      </c>
      <c r="C24" s="10"/>
      <c r="D24" s="10"/>
      <c r="E24" s="10"/>
      <c r="F24" s="10"/>
      <c r="G24" s="10"/>
    </row>
    <row r="25" customFormat="false" ht="15" hidden="false" customHeight="false" outlineLevel="0" collapsed="false">
      <c r="B25" s="16" t="s">
        <v>2</v>
      </c>
      <c r="C25" s="16" t="s">
        <v>290</v>
      </c>
      <c r="D25" s="16" t="s">
        <v>291</v>
      </c>
    </row>
    <row r="26" customFormat="false" ht="15" hidden="false" customHeight="false" outlineLevel="0" collapsed="false">
      <c r="B26" s="17" t="s">
        <v>57</v>
      </c>
      <c r="C26" s="20" t="n">
        <f aca="false">IFERROR(AVERAGEIF(Employee_Data!C2:C51,"Finance",Employee_Data!J2:J51),0)</f>
        <v>3.33333333333333</v>
      </c>
      <c r="D26" s="3" t="str">
        <f aca="false">IF(C26&gt;=4.5,"A+",IF(C26&gt;=4,"A",IF(C26&gt;=3.5,"B+",IF(C26&gt;=3,"B","C"))))</f>
        <v>B</v>
      </c>
    </row>
    <row r="27" customFormat="false" ht="15" hidden="false" customHeight="false" outlineLevel="0" collapsed="false">
      <c r="B27" s="21" t="s">
        <v>36</v>
      </c>
      <c r="C27" s="24" t="n">
        <f aca="false">IFERROR(AVERAGEIF(Employee_Data!C2:C51,"HR",Employee_Data!J2:J51),0)</f>
        <v>3.66666666666667</v>
      </c>
      <c r="D27" s="6" t="str">
        <f aca="false">IF(C27&gt;=4.5,"A+",IF(C27&gt;=4,"A",IF(C27&gt;=3.5,"B+",IF(C27&gt;=3,"B","C"))))</f>
        <v>B+</v>
      </c>
    </row>
    <row r="28" customFormat="false" ht="15" hidden="false" customHeight="false" outlineLevel="0" collapsed="false">
      <c r="B28" s="17" t="s">
        <v>27</v>
      </c>
      <c r="C28" s="20" t="n">
        <f aca="false">IFERROR(AVERAGEIF(Employee_Data!C2:C51,"IT",Employee_Data!J2:J51),0)</f>
        <v>3.5</v>
      </c>
      <c r="D28" s="3" t="str">
        <f aca="false">IF(C28&gt;=4.5,"A+",IF(C28&gt;=4,"A",IF(C28&gt;=3.5,"B+",IF(C28&gt;=3,"B","C"))))</f>
        <v>B+</v>
      </c>
    </row>
    <row r="29" customFormat="false" ht="15" hidden="false" customHeight="false" outlineLevel="0" collapsed="false">
      <c r="B29" s="21" t="s">
        <v>17</v>
      </c>
      <c r="C29" s="24" t="n">
        <f aca="false">IFERROR(AVERAGEIF(Employee_Data!C2:C51,"Marketing",Employee_Data!J2:J51),0)</f>
        <v>3.22222222222222</v>
      </c>
      <c r="D29" s="6" t="str">
        <f aca="false">IF(C29&gt;=4.5,"A+",IF(C29&gt;=4,"A",IF(C29&gt;=3.5,"B+",IF(C29&gt;=3,"B","C"))))</f>
        <v>B</v>
      </c>
    </row>
    <row r="30" customFormat="false" ht="15" hidden="false" customHeight="false" outlineLevel="0" collapsed="false">
      <c r="B30" s="17" t="s">
        <v>84</v>
      </c>
      <c r="C30" s="20" t="n">
        <f aca="false">IFERROR(AVERAGEIF(Employee_Data!C2:C51,"Operations",Employee_Data!J2:J51),0)</f>
        <v>3.66666666666667</v>
      </c>
      <c r="D30" s="3" t="str">
        <f aca="false">IF(C30&gt;=4.5,"A+",IF(C30&gt;=4,"A",IF(C30&gt;=3.5,"B+",IF(C30&gt;=3,"B","C"))))</f>
        <v>B+</v>
      </c>
    </row>
    <row r="31" customFormat="false" ht="15" hidden="false" customHeight="false" outlineLevel="0" collapsed="false">
      <c r="B31" s="21" t="s">
        <v>42</v>
      </c>
      <c r="C31" s="24" t="n">
        <f aca="false">IFERROR(AVERAGEIF(Employee_Data!C2:C51,"Sales",Employee_Data!J2:J51),0)</f>
        <v>3.71428571428571</v>
      </c>
      <c r="D31" s="6" t="str">
        <f aca="false">IF(C31&gt;=4.5,"A+",IF(C31&gt;=4,"A",IF(C31&gt;=3.5,"B+",IF(C31&gt;=3,"B","C"))))</f>
        <v>B+</v>
      </c>
    </row>
  </sheetData>
  <mergeCells count="4">
    <mergeCell ref="B2:J2"/>
    <mergeCell ref="B4:G4"/>
    <mergeCell ref="B14:G14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"/>
  </cols>
  <sheetData>
    <row r="1" customFormat="false" ht="36" hidden="false" customHeight="true" outlineLevel="0" collapsed="false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30"/>
  </cols>
  <sheetData>
    <row r="2" customFormat="false" ht="31.5" hidden="false" customHeight="true" outlineLevel="0" collapsed="false">
      <c r="B2" s="27" t="s">
        <v>293</v>
      </c>
      <c r="C2" s="27"/>
      <c r="D2" s="27"/>
    </row>
    <row r="4" customFormat="false" ht="15" hidden="false" customHeight="false" outlineLevel="0" collapsed="false">
      <c r="B4" s="28"/>
      <c r="C4" s="28" t="s">
        <v>294</v>
      </c>
      <c r="D4" s="28" t="s">
        <v>295</v>
      </c>
    </row>
    <row r="5" customFormat="false" ht="39.75" hidden="false" customHeight="true" outlineLevel="0" collapsed="false">
      <c r="B5" s="53" t="s">
        <v>296</v>
      </c>
      <c r="C5" s="54" t="s">
        <v>297</v>
      </c>
      <c r="D5" s="55" t="s">
        <v>298</v>
      </c>
    </row>
    <row r="6" customFormat="false" ht="39.75" hidden="false" customHeight="true" outlineLevel="0" collapsed="false">
      <c r="B6" s="56" t="s">
        <v>299</v>
      </c>
      <c r="C6" s="57" t="s">
        <v>300</v>
      </c>
      <c r="D6" s="58" t="s">
        <v>301</v>
      </c>
    </row>
    <row r="7" customFormat="false" ht="39.75" hidden="false" customHeight="true" outlineLevel="0" collapsed="false">
      <c r="B7" s="53" t="s">
        <v>302</v>
      </c>
      <c r="C7" s="54" t="s">
        <v>303</v>
      </c>
      <c r="D7" s="55" t="s">
        <v>304</v>
      </c>
    </row>
    <row r="8" customFormat="false" ht="39.75" hidden="false" customHeight="true" outlineLevel="0" collapsed="false">
      <c r="B8" s="56" t="s">
        <v>305</v>
      </c>
      <c r="C8" s="57" t="s">
        <v>306</v>
      </c>
      <c r="D8" s="58" t="s">
        <v>307</v>
      </c>
    </row>
    <row r="9" customFormat="false" ht="39.75" hidden="false" customHeight="true" outlineLevel="0" collapsed="false">
      <c r="B9" s="53" t="s">
        <v>308</v>
      </c>
      <c r="C9" s="54" t="s">
        <v>309</v>
      </c>
      <c r="D9" s="55" t="s">
        <v>310</v>
      </c>
    </row>
    <row r="10" customFormat="false" ht="39.75" hidden="false" customHeight="true" outlineLevel="0" collapsed="false">
      <c r="B10" s="56" t="s">
        <v>311</v>
      </c>
      <c r="C10" s="57" t="s">
        <v>312</v>
      </c>
      <c r="D10" s="58" t="s">
        <v>313</v>
      </c>
    </row>
    <row r="11" customFormat="false" ht="39.75" hidden="false" customHeight="true" outlineLevel="0" collapsed="false">
      <c r="B11" s="53" t="s">
        <v>314</v>
      </c>
      <c r="C11" s="54" t="s">
        <v>315</v>
      </c>
      <c r="D11" s="55" t="s">
        <v>316</v>
      </c>
    </row>
    <row r="12" customFormat="false" ht="39.75" hidden="false" customHeight="true" outlineLevel="0" collapsed="false">
      <c r="B12" s="56" t="s">
        <v>317</v>
      </c>
      <c r="C12" s="57" t="s">
        <v>318</v>
      </c>
      <c r="D12" s="58" t="s">
        <v>319</v>
      </c>
    </row>
    <row r="15" customFormat="false" ht="15" hidden="false" customHeight="true" outlineLevel="0" collapsed="false">
      <c r="B15" s="59" t="s">
        <v>320</v>
      </c>
      <c r="C15" s="59"/>
      <c r="D15" s="59"/>
    </row>
    <row r="16" customFormat="false" ht="27.75" hidden="false" customHeight="true" outlineLevel="0" collapsed="false">
      <c r="B16" s="60" t="s">
        <v>321</v>
      </c>
      <c r="C16" s="60"/>
      <c r="D16" s="60"/>
    </row>
    <row r="17" customFormat="false" ht="27.75" hidden="false" customHeight="true" outlineLevel="0" collapsed="false">
      <c r="B17" s="61" t="s">
        <v>322</v>
      </c>
      <c r="C17" s="61"/>
      <c r="D17" s="61"/>
    </row>
    <row r="18" customFormat="false" ht="27.75" hidden="false" customHeight="true" outlineLevel="0" collapsed="false">
      <c r="B18" s="60" t="s">
        <v>323</v>
      </c>
      <c r="C18" s="60"/>
      <c r="D18" s="60"/>
    </row>
    <row r="19" customFormat="false" ht="27.75" hidden="false" customHeight="true" outlineLevel="0" collapsed="false">
      <c r="B19" s="61" t="s">
        <v>324</v>
      </c>
      <c r="C19" s="61"/>
      <c r="D19" s="61"/>
    </row>
    <row r="20" customFormat="false" ht="27.75" hidden="false" customHeight="true" outlineLevel="0" collapsed="false">
      <c r="B20" s="60" t="s">
        <v>325</v>
      </c>
      <c r="C20" s="60"/>
      <c r="D20" s="60"/>
    </row>
    <row r="21" customFormat="false" ht="27.75" hidden="false" customHeight="true" outlineLevel="0" collapsed="false">
      <c r="B21" s="61" t="s">
        <v>326</v>
      </c>
      <c r="C21" s="61"/>
      <c r="D21" s="61"/>
    </row>
  </sheetData>
  <mergeCells count="8">
    <mergeCell ref="B2:D2"/>
    <mergeCell ref="B15:D15"/>
    <mergeCell ref="B16:D16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2026-05-20T20:11:03Z</dcterms:created>
  <dc:creator>openpyxl</dc:creator>
  <dc:description/>
  <dc:language>en-US</dc:language>
  <cp:lastModifiedBy/>
  <dcterms:modified xsi:type="dcterms:W3CDTF">2026-05-20T20:11:05Z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